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netorg17734095.sharepoint.com/sites/Trid3ntCOPs/Shared Documents/Telamon - Viaero Site Walks/"/>
    </mc:Choice>
  </mc:AlternateContent>
  <xr:revisionPtr revIDLastSave="0" documentId="8_{DC14EF71-D1BB-438E-9956-760C737027AE}" xr6:coauthVersionLast="47" xr6:coauthVersionMax="47" xr10:uidLastSave="{00000000-0000-0000-0000-000000000000}"/>
  <bookViews>
    <workbookView minimized="1" xWindow="32025" yWindow="-4260" windowWidth="17280" windowHeight="8880" xr2:uid="{D8665995-6D31-4A5A-9950-C5A5F9C8D231}"/>
  </bookViews>
  <sheets>
    <sheet name="SITE TRACKER" sheetId="1" r:id="rId1"/>
    <sheet name="Sheet1" sheetId="2" r:id="rId2"/>
  </sheets>
  <definedNames>
    <definedName name="_xlnm._FilterDatabase" localSheetId="0" hidden="1">'SITE TRACKER'!$A$1:$AF$81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<sst xmlns="http://schemas.openxmlformats.org/spreadsheetml/2006/main" count="3899" uniqueCount="916">
  <si>
    <t>SiteID</t>
  </si>
  <si>
    <t>SiteName</t>
  </si>
  <si>
    <t>Address</t>
  </si>
  <si>
    <t>City</t>
  </si>
  <si>
    <t>State</t>
  </si>
  <si>
    <t>Zip</t>
  </si>
  <si>
    <t>County</t>
  </si>
  <si>
    <t>Latitude</t>
  </si>
  <si>
    <t>Longitude</t>
  </si>
  <si>
    <t>Notes</t>
  </si>
  <si>
    <t>Group</t>
  </si>
  <si>
    <t>Tower Owner</t>
  </si>
  <si>
    <t>Tower Owner Site Number</t>
  </si>
  <si>
    <t>Viaero POC</t>
  </si>
  <si>
    <t>Site Type</t>
  </si>
  <si>
    <t>Lease Area Type</t>
  </si>
  <si>
    <t>Power Company</t>
  </si>
  <si>
    <t>Meter Number</t>
  </si>
  <si>
    <t>Telco / Fiber Provider</t>
  </si>
  <si>
    <t>Telco / Fiber POC</t>
  </si>
  <si>
    <t>Measurement 1 (inches)</t>
  </si>
  <si>
    <t>Measurement 2 (inches)</t>
  </si>
  <si>
    <t>Measurement 3 (inches)</t>
  </si>
  <si>
    <t>Measurement 4 (inches)</t>
  </si>
  <si>
    <t>Measurement 5 (inches)</t>
  </si>
  <si>
    <t>Measurement 6 (inches)</t>
  </si>
  <si>
    <t>Measurement 7 (inches)</t>
  </si>
  <si>
    <t>Measurement 8 (inches)</t>
  </si>
  <si>
    <t>Measurement 9 (inches)</t>
  </si>
  <si>
    <t>Measurement 10 (feet)</t>
  </si>
  <si>
    <t>Measurement 11 (feet)</t>
  </si>
  <si>
    <t>Walked By</t>
  </si>
  <si>
    <t>Date Walked</t>
  </si>
  <si>
    <t>Checked In</t>
  </si>
  <si>
    <t>Checked Out</t>
  </si>
  <si>
    <t>Lease Area Issues</t>
  </si>
  <si>
    <t>Gate/Shelter Code</t>
  </si>
  <si>
    <t>Photos Uploaded</t>
  </si>
  <si>
    <t>Site Walk Form Uploaded</t>
  </si>
  <si>
    <t>Measurements PDF Uploaded</t>
  </si>
  <si>
    <t>Confirmation Email Recv'd</t>
  </si>
  <si>
    <t>Action Needed</t>
  </si>
  <si>
    <t>NE-FRANKLIN</t>
  </si>
  <si>
    <t>1033 J Street</t>
  </si>
  <si>
    <t xml:space="preserve"> Franklin</t>
  </si>
  <si>
    <t>NE</t>
  </si>
  <si>
    <t>FRANKLIN</t>
  </si>
  <si>
    <t>Site ID 1 Phase Priority P2-1</t>
  </si>
  <si>
    <t>Phase 1</t>
  </si>
  <si>
    <t>INDUSTRIAL TOWER WEST</t>
  </si>
  <si>
    <t>Chris Bolton 308-370-1857  chris.bolton@viaero.com</t>
  </si>
  <si>
    <t>SELF-SUPPORT (150' 7")</t>
  </si>
  <si>
    <t>COMPOUND</t>
  </si>
  <si>
    <t>Southern Power District</t>
  </si>
  <si>
    <t>VIAERO</t>
  </si>
  <si>
    <t>Chris Bolton</t>
  </si>
  <si>
    <t>Cody Waite</t>
  </si>
  <si>
    <t>None</t>
  </si>
  <si>
    <t>1225 / KEYED</t>
  </si>
  <si>
    <t>X</t>
  </si>
  <si>
    <t>9/7/2025
PHOTOS &amp; SWF ONLY</t>
  </si>
  <si>
    <t>COMPLETE</t>
  </si>
  <si>
    <t>NE-BLUE_HILL</t>
  </si>
  <si>
    <t>306 N. W Railway Street</t>
  </si>
  <si>
    <t xml:space="preserve"> Blue Hill</t>
  </si>
  <si>
    <t>WEBSTER</t>
  </si>
  <si>
    <t>Site ID 252 Phase Priority P2-1</t>
  </si>
  <si>
    <t>SELF-SUPPORT-195'</t>
  </si>
  <si>
    <t>NPPD</t>
  </si>
  <si>
    <t>NA</t>
  </si>
  <si>
    <t>Derrick Molehill/Jamey Lott</t>
  </si>
  <si>
    <t>NE-HOLSTEIN</t>
  </si>
  <si>
    <t xml:space="preserve"> Holstein</t>
  </si>
  <si>
    <t>ADAMS</t>
  </si>
  <si>
    <t>Site ID 263 Phase Priority P2-1</t>
  </si>
  <si>
    <t>SELF-SUPPORT (195' 4")</t>
  </si>
  <si>
    <t>9/7/2025
PHOTOS ONLY</t>
  </si>
  <si>
    <t>NE-UPLAND</t>
  </si>
  <si>
    <t>185 South Greenfield Ave.</t>
  </si>
  <si>
    <t xml:space="preserve"> Upland</t>
  </si>
  <si>
    <t>Site ID 336 Phase Priority P2-1</t>
  </si>
  <si>
    <t>NE-CAMPBELL</t>
  </si>
  <si>
    <t>119 Deming Street</t>
  </si>
  <si>
    <t xml:space="preserve"> Campbell</t>
  </si>
  <si>
    <t>Site ID 337 Phase Priority P2-1</t>
  </si>
  <si>
    <t>NE-RIVERTON</t>
  </si>
  <si>
    <t>765 41st Road Riverton</t>
  </si>
  <si>
    <t xml:space="preserve"> Riverton</t>
  </si>
  <si>
    <t>Site ID 422 Phase Priority P2-1</t>
  </si>
  <si>
    <t>GUYED TOWER (195')</t>
  </si>
  <si>
    <t>NE-BLOOMINGTON</t>
  </si>
  <si>
    <t>891 27 1/2 Road</t>
  </si>
  <si>
    <t xml:space="preserve"> Bloomington</t>
  </si>
  <si>
    <t>Site ID 423 Phase Priority P2-1</t>
  </si>
  <si>
    <t>GUYED TOWER (330')</t>
  </si>
  <si>
    <t>NE-LAWRENCE</t>
  </si>
  <si>
    <t>150 S. Smith Street</t>
  </si>
  <si>
    <t xml:space="preserve"> Lawrence</t>
  </si>
  <si>
    <t>NUCKOLLS</t>
  </si>
  <si>
    <t>Site ID 752 Phase Priority P2-1</t>
  </si>
  <si>
    <t>SOUTH CENTRAL PPD</t>
  </si>
  <si>
    <t>WY-TORRINGTON_NORTH</t>
  </si>
  <si>
    <t>3200 W C Street</t>
  </si>
  <si>
    <t>Torrington</t>
  </si>
  <si>
    <t>WY</t>
  </si>
  <si>
    <t>Phase 10</t>
  </si>
  <si>
    <t>NE-SCOTTSBLUFF_HOSP_ADMIN</t>
  </si>
  <si>
    <t>3700 Ave B</t>
  </si>
  <si>
    <t>Scottsbluff</t>
  </si>
  <si>
    <t>WY-TORRINGTON_21ST_CENT</t>
  </si>
  <si>
    <t>5180 US-26</t>
  </si>
  <si>
    <t>WY-TORRINGTON_TALLGRASS</t>
  </si>
  <si>
    <t>7607 Road 51</t>
  </si>
  <si>
    <t>NE-HENRY</t>
  </si>
  <si>
    <t>31 Henry Road</t>
  </si>
  <si>
    <t>Morrill</t>
  </si>
  <si>
    <t>NE-GERING_DT</t>
  </si>
  <si>
    <t>1509 10th Street</t>
  </si>
  <si>
    <t>Gering</t>
  </si>
  <si>
    <t>NE-MITCHELL</t>
  </si>
  <si>
    <t>120891 County Road C</t>
  </si>
  <si>
    <t>Mitchell</t>
  </si>
  <si>
    <t>NE-WIND_SPRINGS</t>
  </si>
  <si>
    <t>8002 Hwy 71</t>
  </si>
  <si>
    <t>WY-TORRINGTON_SOUTH</t>
  </si>
  <si>
    <t>6034 Road 47</t>
  </si>
  <si>
    <t>WY-FORT_LARAMIE</t>
  </si>
  <si>
    <t>1530 E. Bliss St</t>
  </si>
  <si>
    <t>Fort Laramie</t>
  </si>
  <si>
    <t>WY-LINGLE</t>
  </si>
  <si>
    <t>8061 Cemetery Raod</t>
  </si>
  <si>
    <t>Lingle</t>
  </si>
  <si>
    <t>NE-SCOTTSBLUFF_HOSP</t>
  </si>
  <si>
    <t>4021 AVE B</t>
  </si>
  <si>
    <t>WY-TORRINGTON_DT</t>
  </si>
  <si>
    <t>119 West 21st Ave</t>
  </si>
  <si>
    <t>NE-MORRILL_DT</t>
  </si>
  <si>
    <t>625 1/2 West Webster</t>
  </si>
  <si>
    <t>NE-LYMAN_WT</t>
  </si>
  <si>
    <t>413 Lane Ave #1/2</t>
  </si>
  <si>
    <t>Lyman</t>
  </si>
  <si>
    <t>41.91778231629738</t>
  </si>
  <si>
    <t>NE-MITCHELL_DT</t>
  </si>
  <si>
    <t>1209 19th Ave</t>
  </si>
  <si>
    <t>NE-SCOTTSBLUFF_HOSP_MICRO</t>
  </si>
  <si>
    <t>41.887110000000000</t>
  </si>
  <si>
    <t>NE-HOLDREGE_SALES</t>
  </si>
  <si>
    <t>403 West Avenue</t>
  </si>
  <si>
    <t xml:space="preserve"> Holdrege</t>
  </si>
  <si>
    <t>PHELPS</t>
  </si>
  <si>
    <t>Site ID 10 Phase Priority P2-2</t>
  </si>
  <si>
    <t>Phase 2</t>
  </si>
  <si>
    <t>ROOFTOP (49')</t>
  </si>
  <si>
    <t>ROOFTOP</t>
  </si>
  <si>
    <t>NPPD WHOLESALE</t>
  </si>
  <si>
    <t>INSIDE CABINET</t>
  </si>
  <si>
    <t>APPROX 900</t>
  </si>
  <si>
    <t>No rooftop access - Lift only - All measurements are approximate</t>
  </si>
  <si>
    <t>No cabinet key</t>
  </si>
  <si>
    <t>NE-HOLBROOK_WT</t>
  </si>
  <si>
    <t>218 Tower Street</t>
  </si>
  <si>
    <t xml:space="preserve"> Holbrook</t>
  </si>
  <si>
    <t>FURNAS</t>
  </si>
  <si>
    <t>Site ID 55 Phase Priority P2-2</t>
  </si>
  <si>
    <t>City of Holbrook</t>
  </si>
  <si>
    <t>WATER TANK (132' 8")</t>
  </si>
  <si>
    <t>WATER TANK</t>
  </si>
  <si>
    <t>North Central Pulic Power</t>
  </si>
  <si>
    <t>Mack Gees</t>
  </si>
  <si>
    <t>needs Site tech to access and Needs weed control - barrier  Tentent imporviments needed.  No ground other then to Water tower</t>
  </si>
  <si>
    <t>Need site to access</t>
  </si>
  <si>
    <t>NE-MCCOOK_DT</t>
  </si>
  <si>
    <t>402 Norris Avenue</t>
  </si>
  <si>
    <t xml:space="preserve"> McCook</t>
  </si>
  <si>
    <t>RED WILLOW</t>
  </si>
  <si>
    <t>Site ID 166</t>
  </si>
  <si>
    <t>ROOFTOP (70' 8")</t>
  </si>
  <si>
    <t>NEBRASKA PUBLIC POWER</t>
  </si>
  <si>
    <t>Need Special access-tech</t>
  </si>
  <si>
    <t>NE-HOLDREGE</t>
  </si>
  <si>
    <t>616 West 1st Ave</t>
  </si>
  <si>
    <t>Site ID 258 Phase Priority P2-2</t>
  </si>
  <si>
    <t>8/17/2025
PHOTOS ONLY</t>
  </si>
  <si>
    <t>NE-CAMBRIDGE_HOSP</t>
  </si>
  <si>
    <t>1305 US HWY 6</t>
  </si>
  <si>
    <t xml:space="preserve"> Cambridge</t>
  </si>
  <si>
    <t>Site ID 278 Phase Priority P2-2</t>
  </si>
  <si>
    <t>ROOFTOP (15' 6")</t>
  </si>
  <si>
    <t>Twin Valley Public Power</t>
  </si>
  <si>
    <t>All good</t>
  </si>
  <si>
    <t>Special access-need tech to access roof top and Eletrical room/Shelter</t>
  </si>
  <si>
    <t>NE-CAMBRIDGE</t>
  </si>
  <si>
    <t>40834 Dr. 721</t>
  </si>
  <si>
    <t>Site ID 280 Phase Priority P2-2</t>
  </si>
  <si>
    <t>No access road</t>
  </si>
  <si>
    <t>8/17/2025 PHOTOS &amp; SMD ONLY</t>
  </si>
  <si>
    <t>NE-ARAPAHOE</t>
  </si>
  <si>
    <t>42366 Road 724</t>
  </si>
  <si>
    <t xml:space="preserve"> Arapahoe</t>
  </si>
  <si>
    <t>Site ID 282 Phase Priority P2-2</t>
  </si>
  <si>
    <t>SELF-SUPPORT (175' 4")</t>
  </si>
  <si>
    <t>NPPD/TWIN VALLEYS</t>
  </si>
  <si>
    <t>NE-OXFORD_NORTH</t>
  </si>
  <si>
    <t>10201 U.S. Highway 6</t>
  </si>
  <si>
    <t xml:space="preserve"> Oxford</t>
  </si>
  <si>
    <t>Site ID 286 Phase Priority P2-2</t>
  </si>
  <si>
    <t>GUYED TOWER (250')</t>
  </si>
  <si>
    <t>FURNACE COUNTY PUBLIC POWER</t>
  </si>
  <si>
    <t>NE-WILSONVILLE</t>
  </si>
  <si>
    <t>70950 Drive 412</t>
  </si>
  <si>
    <t xml:space="preserve"> Wilsonville</t>
  </si>
  <si>
    <t>Site ID 300 Phase Priority P2-2</t>
  </si>
  <si>
    <t>Dawson PUBLIC POWER</t>
  </si>
  <si>
    <t>Microwave</t>
  </si>
  <si>
    <t>Wire gap needs closed at all times</t>
  </si>
  <si>
    <t>NE-BEAVER_CITY</t>
  </si>
  <si>
    <t>42749 Road 712</t>
  </si>
  <si>
    <t xml:space="preserve"> Beaver City</t>
  </si>
  <si>
    <t>Site ID 301 Phase Priority P2-2</t>
  </si>
  <si>
    <t>Nebraska Pulic Power</t>
  </si>
  <si>
    <t xml:space="preserve"> Access road needs attention</t>
  </si>
  <si>
    <t>NE-WILCOX</t>
  </si>
  <si>
    <t>404 N Briggs Street</t>
  </si>
  <si>
    <t xml:space="preserve"> Wilcox</t>
  </si>
  <si>
    <t>KEARNEY</t>
  </si>
  <si>
    <t>Site ID 306 Phase Priority P2-2</t>
  </si>
  <si>
    <t>NE-AXTELL</t>
  </si>
  <si>
    <t>809 W. 3rd Street</t>
  </si>
  <si>
    <t xml:space="preserve"> Axtell</t>
  </si>
  <si>
    <t>Site ID 323 Phase Priority P2-2</t>
  </si>
  <si>
    <t>SELF-SUPPORT (120')</t>
  </si>
  <si>
    <t>NE-LOOMIS</t>
  </si>
  <si>
    <t>73448 G Road</t>
  </si>
  <si>
    <t xml:space="preserve"> Loomis</t>
  </si>
  <si>
    <t>Site ID 343 Phase Priority P2-2</t>
  </si>
  <si>
    <t>SELF-SUPPORT (80')</t>
  </si>
  <si>
    <t>Brian King</t>
  </si>
  <si>
    <t>9/7/2025
9/16/2025</t>
  </si>
  <si>
    <t>NE-ALMA</t>
  </si>
  <si>
    <t>515 Highway 183</t>
  </si>
  <si>
    <t xml:space="preserve"> Alma</t>
  </si>
  <si>
    <t>HARLAN</t>
  </si>
  <si>
    <t>Site ID 424 Phase Priority P2-2</t>
  </si>
  <si>
    <t>5:15pm</t>
  </si>
  <si>
    <t>6:30pm</t>
  </si>
  <si>
    <t>Colcation</t>
  </si>
  <si>
    <t>NE-EUSTIS</t>
  </si>
  <si>
    <t>41544 Road 746</t>
  </si>
  <si>
    <t xml:space="preserve"> Eustis</t>
  </si>
  <si>
    <t>FRONTIER</t>
  </si>
  <si>
    <t>Site ID 425 Phase Priority P2-2</t>
  </si>
  <si>
    <t>SELF-SUPPORT</t>
  </si>
  <si>
    <t>McCook PPD</t>
  </si>
  <si>
    <t>1225/KEYED</t>
  </si>
  <si>
    <t>NE-ELWOOD</t>
  </si>
  <si>
    <t>101 Railroad Street</t>
  </si>
  <si>
    <t xml:space="preserve"> Elwood</t>
  </si>
  <si>
    <t>GOSPER</t>
  </si>
  <si>
    <t>Site ID 426 Phase Priority P2-2</t>
  </si>
  <si>
    <t>NE-BERTRAND</t>
  </si>
  <si>
    <t>1135 Kellogg Street</t>
  </si>
  <si>
    <t xml:space="preserve"> Bertrand</t>
  </si>
  <si>
    <t>Site ID 427 Phase Priority P2-2</t>
  </si>
  <si>
    <t>9/16/2025
PHOTOS ONLY</t>
  </si>
  <si>
    <t>NE-STAMFORD_DT</t>
  </si>
  <si>
    <t>675 W. Webster Street</t>
  </si>
  <si>
    <t xml:space="preserve"> Stamford</t>
  </si>
  <si>
    <t>Site ID 791 Phase Priority P2-2</t>
  </si>
  <si>
    <t>N/A</t>
  </si>
  <si>
    <t>NE-ORLEANS_DT</t>
  </si>
  <si>
    <t>109 W. Cedar Street</t>
  </si>
  <si>
    <t xml:space="preserve"> Orleans</t>
  </si>
  <si>
    <t>Site ID 792 Phase Priority P2-2</t>
  </si>
  <si>
    <t>Clean access road and area</t>
  </si>
  <si>
    <t>NE-OXFORD_DT</t>
  </si>
  <si>
    <t>501 W Cornwall St</t>
  </si>
  <si>
    <t>Site ID 797 Phase Priority P2-2</t>
  </si>
  <si>
    <t>Oxford Utiltiy</t>
  </si>
  <si>
    <t>NE-EDISON</t>
  </si>
  <si>
    <t>101 Smith Street</t>
  </si>
  <si>
    <t xml:space="preserve"> Edison</t>
  </si>
  <si>
    <t>Site ID 949 Phase Priority P2-2</t>
  </si>
  <si>
    <t>No access road though Farmers field</t>
  </si>
  <si>
    <t>8/17/2025
PHOTOS &amp; SMD ONLY</t>
  </si>
  <si>
    <t>NE-HOLDREGE_EAST</t>
  </si>
  <si>
    <t>1825 E. Hwy. 6 &amp; 34</t>
  </si>
  <si>
    <t>Site ID 986 Phase Priority P2-2</t>
  </si>
  <si>
    <t>SELF-SUPPORT (140')</t>
  </si>
  <si>
    <t>NE-RAGAN_GW</t>
  </si>
  <si>
    <t>1228 Cross Ave</t>
  </si>
  <si>
    <t xml:space="preserve"> Ragan</t>
  </si>
  <si>
    <t>Site ID 1030 Phase Priority P2-2</t>
  </si>
  <si>
    <t>CANCELLED</t>
  </si>
  <si>
    <t>NE-SARGENT</t>
  </si>
  <si>
    <t>502 W. Jessie</t>
  </si>
  <si>
    <t xml:space="preserve"> Sargent</t>
  </si>
  <si>
    <t>CITY OF SARGENT</t>
  </si>
  <si>
    <t>Site ID 35 Phase Priority P2-7</t>
  </si>
  <si>
    <t>Phase 3</t>
  </si>
  <si>
    <t>UNKNOWN</t>
  </si>
  <si>
    <t>Devan Sharp</t>
  </si>
  <si>
    <t>NONE</t>
  </si>
  <si>
    <t>NE-CHAMBERS_WEST</t>
  </si>
  <si>
    <t>47103 849th Road</t>
  </si>
  <si>
    <t xml:space="preserve"> Amelia</t>
  </si>
  <si>
    <t>HOLT</t>
  </si>
  <si>
    <t>Site ID 52 Phase Priority P2-7</t>
  </si>
  <si>
    <t>NIOBRARA VALLEY</t>
  </si>
  <si>
    <t>NE-WOLBACH</t>
  </si>
  <si>
    <t>814 Drummond Ave</t>
  </si>
  <si>
    <t xml:space="preserve"> Wolbach</t>
  </si>
  <si>
    <t>GREELEY</t>
  </si>
  <si>
    <t>Site ID 228 Phase Priority P2-7</t>
  </si>
  <si>
    <t>GUYED (190')</t>
  </si>
  <si>
    <t>HOWARD-GREELY RURAL PUBLIC DISTRICT</t>
  </si>
  <si>
    <t>Overgrown W/ weeds and nearly inaccessable (see photos)</t>
  </si>
  <si>
    <t>NE-ST_PAUL</t>
  </si>
  <si>
    <t>973 14th Ave</t>
  </si>
  <si>
    <t xml:space="preserve"> St. Paul</t>
  </si>
  <si>
    <t>HOWARD</t>
  </si>
  <si>
    <t>Site ID 233 Phase Priority P2-7</t>
  </si>
  <si>
    <t>GUYED (195')</t>
  </si>
  <si>
    <t>none</t>
  </si>
  <si>
    <t>NE-GREELEY</t>
  </si>
  <si>
    <t>81357 498th Ave</t>
  </si>
  <si>
    <t xml:space="preserve"> Greeley</t>
  </si>
  <si>
    <t>Site ID 234 Phase Priority P2-7</t>
  </si>
  <si>
    <t>GUYED (260')</t>
  </si>
  <si>
    <t>1225 / Keyed</t>
  </si>
  <si>
    <t>NE-CHAMBERS</t>
  </si>
  <si>
    <t>85158 U.S. Hwy 281</t>
  </si>
  <si>
    <t xml:space="preserve"> Chambers</t>
  </si>
  <si>
    <t>Site ID 246 Phase Priority P2-7</t>
  </si>
  <si>
    <t>SELF-SUPPORT (227' 6")</t>
  </si>
  <si>
    <t>NE-BURWELL_DT_HUB</t>
  </si>
  <si>
    <t>180 Grand Ave</t>
  </si>
  <si>
    <t xml:space="preserve"> Burwell</t>
  </si>
  <si>
    <t>GARFIELD</t>
  </si>
  <si>
    <t>Site ID 329 Phase Priority P2-7</t>
  </si>
  <si>
    <t>LOUP VALLEY RPPD</t>
  </si>
  <si>
    <t>Will need special acess POC(tech)to Access the Roof top- hatch you will need lighting no lights to access roff hatch and will need to have real working ladder at CX to access roof top or man lift</t>
  </si>
  <si>
    <t>9/16/2025
9/17/2025</t>
  </si>
  <si>
    <t>NE-LOUP_CITY</t>
  </si>
  <si>
    <t>1225 "O" Street</t>
  </si>
  <si>
    <t xml:space="preserve"> Loup City</t>
  </si>
  <si>
    <t>SHERMAN</t>
  </si>
  <si>
    <t>Site ID 400 Phase Priority P2-7</t>
  </si>
  <si>
    <t>SELF-SUPPORT (147' 6")</t>
  </si>
  <si>
    <t>NE-COMSTOCK</t>
  </si>
  <si>
    <t>46060 Sargent Ord Road</t>
  </si>
  <si>
    <t xml:space="preserve"> Comstock</t>
  </si>
  <si>
    <t>CUSTER</t>
  </si>
  <si>
    <t>Site ID 405 Phase Priority P2-7</t>
  </si>
  <si>
    <t>Derrick Molehill</t>
  </si>
  <si>
    <t>NE-ASHTON</t>
  </si>
  <si>
    <t>78784 483rd Avenue</t>
  </si>
  <si>
    <t xml:space="preserve"> Ashton</t>
  </si>
  <si>
    <t>Site ID 406 Phase Priority P2-7</t>
  </si>
  <si>
    <t>DAWSON PUBLIC POWER</t>
  </si>
  <si>
    <t>COMPOUND WASH OUT ON THE BACK SIDE OF THE COMPOUND</t>
  </si>
  <si>
    <t>NE-DRY_VALLEY</t>
  </si>
  <si>
    <t>45250 Weissert Road</t>
  </si>
  <si>
    <t xml:space="preserve"> Weissert</t>
  </si>
  <si>
    <t>Site ID 435 Phase Priority P2-7</t>
  </si>
  <si>
    <t>CUSTER PUBLIC ELECTRIC</t>
  </si>
  <si>
    <t>Joe Dilks</t>
  </si>
  <si>
    <t xml:space="preserve"> New Verizon location completed and Viareo fiberback haul  install in progress</t>
  </si>
  <si>
    <t>1225/ keyed</t>
  </si>
  <si>
    <t>NE-COTESFIELD</t>
  </si>
  <si>
    <t>1916 23rd Avenue</t>
  </si>
  <si>
    <t xml:space="preserve"> Cotesfield</t>
  </si>
  <si>
    <t>Site ID 440 Phase Priority P2-7</t>
  </si>
  <si>
    <t>GUYED (200')</t>
  </si>
  <si>
    <t>NE-NORTH_LOUP</t>
  </si>
  <si>
    <t>48353 Hwy 22</t>
  </si>
  <si>
    <t xml:space="preserve"> North Loup</t>
  </si>
  <si>
    <t>VALLEY</t>
  </si>
  <si>
    <t>Site ID 445 Phase Priority P2-7</t>
  </si>
  <si>
    <t>GUYED (330')</t>
  </si>
  <si>
    <t>LV-0401</t>
  </si>
  <si>
    <t>NE-ORD</t>
  </si>
  <si>
    <t>1313 N Street</t>
  </si>
  <si>
    <t xml:space="preserve"> Ord</t>
  </si>
  <si>
    <t>Site ID 448 Phase Priority P2-7</t>
  </si>
  <si>
    <t>NE-CHAMBERS_DT</t>
  </si>
  <si>
    <t>607 W. Main Street</t>
  </si>
  <si>
    <t>Site ID 457 Phase Priority P2-7</t>
  </si>
  <si>
    <t>NE-PALMER</t>
  </si>
  <si>
    <t>104 Zurich Street</t>
  </si>
  <si>
    <t xml:space="preserve"> Palmer</t>
  </si>
  <si>
    <t>MERRICK</t>
  </si>
  <si>
    <t>Site ID 483 Phase Priority P2-7</t>
  </si>
  <si>
    <t xml:space="preserve"> New verizon site being built  don’t know what the compound  size that will be installed with new Cabinet and genset install</t>
  </si>
  <si>
    <t>NE-BURWELL</t>
  </si>
  <si>
    <t>82413 471st Avenue</t>
  </si>
  <si>
    <t>Site ID 499 Phase Priority P2-7</t>
  </si>
  <si>
    <t>GUYED (300')</t>
  </si>
  <si>
    <t>LV-1279</t>
  </si>
  <si>
    <t>Acess road need attn has some ruts, front of compound at agte is washing out and needs toeb addressed for suretry reasons</t>
  </si>
  <si>
    <t>NE-BURWELL_DT_SOUTH</t>
  </si>
  <si>
    <t>604 S. 8th</t>
  </si>
  <si>
    <t>Site ID 727 Phase Priority P2-7</t>
  </si>
  <si>
    <t xml:space="preserve"> Access During Planting Season will be farmed in.</t>
  </si>
  <si>
    <t>NE-ROSE</t>
  </si>
  <si>
    <t>44743 852nd Road</t>
  </si>
  <si>
    <t xml:space="preserve"> Rose</t>
  </si>
  <si>
    <t>ROCK</t>
  </si>
  <si>
    <t>Site ID 753 Phase Priority P2-7</t>
  </si>
  <si>
    <t>KBR/RPPD</t>
  </si>
  <si>
    <t>NE-HORSESHOE_BEND_LAKE</t>
  </si>
  <si>
    <t>83565 Highway 183</t>
  </si>
  <si>
    <t xml:space="preserve"> Taylor</t>
  </si>
  <si>
    <t>LOUP</t>
  </si>
  <si>
    <t>Site ID 756 Phase Priority P2-7</t>
  </si>
  <si>
    <t>NE-SHERMAN_LAKE</t>
  </si>
  <si>
    <t>47847 794th Road</t>
  </si>
  <si>
    <t>Site ID 759 Phase Priority P2-7</t>
  </si>
  <si>
    <t>SELF-SUPPORT (199' 8")</t>
  </si>
  <si>
    <t>LV-0295</t>
  </si>
  <si>
    <t xml:space="preserve"> 10:40 Am</t>
  </si>
  <si>
    <t>1:00pm</t>
  </si>
  <si>
    <t xml:space="preserve">None-Muddy when ground is wet </t>
  </si>
  <si>
    <t>NE-TAYLOR_EAST</t>
  </si>
  <si>
    <t>82355 Rusho Drive</t>
  </si>
  <si>
    <t>Site ID 779 Phase Priority P2-7</t>
  </si>
  <si>
    <t>NE-ARCADIA</t>
  </si>
  <si>
    <t>500 N. Hawthorne</t>
  </si>
  <si>
    <t xml:space="preserve"> Arcadia</t>
  </si>
  <si>
    <t>Site ID 993 Phase Priority P2-7</t>
  </si>
  <si>
    <t>SELF-SUPPORT (150' 6")</t>
  </si>
  <si>
    <t>LV-3163</t>
  </si>
  <si>
    <t xml:space="preserve"> ACCESS IS  HIDDEN IN TALL GRASS</t>
  </si>
  <si>
    <t>NE-STUART_DT</t>
  </si>
  <si>
    <t>216 E. Highway 20</t>
  </si>
  <si>
    <t xml:space="preserve"> Stuart</t>
  </si>
  <si>
    <t>Site 91 P2-9</t>
  </si>
  <si>
    <t>Phase 4</t>
  </si>
  <si>
    <t>MONOPOLE (100')</t>
  </si>
  <si>
    <t>VILLAGE OF STUART</t>
  </si>
  <si>
    <t>NE-ATKINSON_SOUTH</t>
  </si>
  <si>
    <t>86993 STATE HIGHWAY 11</t>
  </si>
  <si>
    <t xml:space="preserve"> Atkinson</t>
  </si>
  <si>
    <t>Site 114 P2-9</t>
  </si>
  <si>
    <t>SELF-SUPPORT (180')</t>
  </si>
  <si>
    <t>NPPD ONEILL</t>
  </si>
  <si>
    <t>NE-MILLS_SOUTH</t>
  </si>
  <si>
    <t>89501 Big Ann Lane</t>
  </si>
  <si>
    <t xml:space="preserve"> Mills</t>
  </si>
  <si>
    <t>KEYA PAHA</t>
  </si>
  <si>
    <t>Site 118 P2-9</t>
  </si>
  <si>
    <t>NE-ONEILL_SE</t>
  </si>
  <si>
    <t>639 South 10th Street</t>
  </si>
  <si>
    <t xml:space="preserve"> O'Neill</t>
  </si>
  <si>
    <t>Site 165 P2-9</t>
  </si>
  <si>
    <t>Cabinet site, shelter is powered up but wide open</t>
  </si>
  <si>
    <t>NE-ONEILL</t>
  </si>
  <si>
    <t>87151 496th Ave</t>
  </si>
  <si>
    <t>Site 247 P2-9</t>
  </si>
  <si>
    <t>Farm field</t>
  </si>
  <si>
    <t>NE-BASSETT</t>
  </si>
  <si>
    <t>88087 448th Ave</t>
  </si>
  <si>
    <t xml:space="preserve"> Bassett</t>
  </si>
  <si>
    <t>Site 267 P2-9</t>
  </si>
  <si>
    <t>GUYED TOWER (185')</t>
  </si>
  <si>
    <t>Hay field</t>
  </si>
  <si>
    <t>NE-ONEILL_SALES</t>
  </si>
  <si>
    <t>132 S 4th Street</t>
  </si>
  <si>
    <t>Site 269 P2-9</t>
  </si>
  <si>
    <t>MONOPOLE (50')</t>
  </si>
  <si>
    <t>NE-ATKINSON</t>
  </si>
  <si>
    <t>107 S. Hyde St.</t>
  </si>
  <si>
    <t>Site 270 P2-9</t>
  </si>
  <si>
    <t>Jamey Lott</t>
  </si>
  <si>
    <t>NE-BASSETT_SOUTH</t>
  </si>
  <si>
    <t>44608 Deer Ridge Road</t>
  </si>
  <si>
    <t>Site 334 P2-9</t>
  </si>
  <si>
    <t>SELF-SUPPORT (195' 1")</t>
  </si>
  <si>
    <t>Bad road in very sandy and steep - compound fence eroded bad</t>
  </si>
  <si>
    <t>NE-VERDIGRE_WEST</t>
  </si>
  <si>
    <t>87982 512th Avenue</t>
  </si>
  <si>
    <t xml:space="preserve"> Verdigre West</t>
  </si>
  <si>
    <t>KNOX</t>
  </si>
  <si>
    <t>Site 371 P2-9</t>
  </si>
  <si>
    <t>NORTH CENTRAL PPD</t>
  </si>
  <si>
    <t>NE-EMMET</t>
  </si>
  <si>
    <t>87318 484th Ave.</t>
  </si>
  <si>
    <t xml:space="preserve"> Emmet</t>
  </si>
  <si>
    <t>Site 412 P2-9</t>
  </si>
  <si>
    <t>NE-SPENCER</t>
  </si>
  <si>
    <t>48952 900th Road</t>
  </si>
  <si>
    <t xml:space="preserve"> Spencer</t>
  </si>
  <si>
    <t>BOYD</t>
  </si>
  <si>
    <t>Site 430 P2-9</t>
  </si>
  <si>
    <t>NPPD/NIOBRARA VALLEY</t>
  </si>
  <si>
    <t>Hay field - overgrown gate</t>
  </si>
  <si>
    <t>NE-STUART</t>
  </si>
  <si>
    <t>88308 466th Ave</t>
  </si>
  <si>
    <t>Site 451 P2-9</t>
  </si>
  <si>
    <t>Overgrown, no access road, broken gate</t>
  </si>
  <si>
    <t>NE-MIDWAY</t>
  </si>
  <si>
    <t>49156 887th Road</t>
  </si>
  <si>
    <t>Site 454 P2-9</t>
  </si>
  <si>
    <t>NE-VERDIGRE</t>
  </si>
  <si>
    <t>88169 Skyline Drive</t>
  </si>
  <si>
    <t xml:space="preserve"> Verdigre</t>
  </si>
  <si>
    <t>Site 466 P2-9</t>
  </si>
  <si>
    <t>NE-NIOBRARA</t>
  </si>
  <si>
    <t>104 South Cherry Street</t>
  </si>
  <si>
    <t xml:space="preserve"> Niobrara</t>
  </si>
  <si>
    <t>Site 482 P2-9</t>
  </si>
  <si>
    <t>NE-BUTTE_WEST</t>
  </si>
  <si>
    <t>47637 Hwy 12</t>
  </si>
  <si>
    <t xml:space="preserve"> Butte</t>
  </si>
  <si>
    <t>Site 489 P2-9</t>
  </si>
  <si>
    <t>Overgrown access road - rough to access</t>
  </si>
  <si>
    <t>NE-VERDEL</t>
  </si>
  <si>
    <t>89609 516th Ave</t>
  </si>
  <si>
    <t xml:space="preserve"> Verdel</t>
  </si>
  <si>
    <t>Site 490 P2-9</t>
  </si>
  <si>
    <t>NE-BROCKSBURG</t>
  </si>
  <si>
    <t>90637 State Hwy 137</t>
  </si>
  <si>
    <t xml:space="preserve"> Brocksburg</t>
  </si>
  <si>
    <t>Site 491 P2-9</t>
  </si>
  <si>
    <t>NPPD/KBR</t>
  </si>
  <si>
    <t>NE-LYNCH</t>
  </si>
  <si>
    <t>89628 503rd Ave</t>
  </si>
  <si>
    <t xml:space="preserve"> Lynch</t>
  </si>
  <si>
    <t>Site 492 P2-9</t>
  </si>
  <si>
    <t>NE-BUTTE_DT</t>
  </si>
  <si>
    <t>731 Broadway St</t>
  </si>
  <si>
    <t>Site 799 P2-9</t>
  </si>
  <si>
    <t>NE-ONEILL_HOSP</t>
  </si>
  <si>
    <t>300 N 2nd Street</t>
  </si>
  <si>
    <t>Site 917 P2-9</t>
  </si>
  <si>
    <t>NE-ONEILL_NORTH</t>
  </si>
  <si>
    <t>47286 N. Westwood Ave</t>
  </si>
  <si>
    <t>Site 985 P2-9</t>
  </si>
  <si>
    <t>Alley access</t>
  </si>
  <si>
    <t>NE-MAXWELL_SOUTH</t>
  </si>
  <si>
    <t>802 S Pine St.</t>
  </si>
  <si>
    <t>Maxwell</t>
  </si>
  <si>
    <t>LINCOLN</t>
  </si>
  <si>
    <t>Site 90 P2-8</t>
  </si>
  <si>
    <t>Phase 5</t>
  </si>
  <si>
    <t>Barry Brumbaugh  308-464-1000  Barry.brumbaugh@viaero.com</t>
  </si>
  <si>
    <t>SELF SUPPORT (195' 4")</t>
  </si>
  <si>
    <t>1031 / KEYED</t>
  </si>
  <si>
    <t>NE-NP_NPPD</t>
  </si>
  <si>
    <t>402 E Sate Farm Rd</t>
  </si>
  <si>
    <t>North Platte</t>
  </si>
  <si>
    <t>Site 219 P2-8</t>
  </si>
  <si>
    <t>SELF SUPPORT</t>
  </si>
  <si>
    <t>0317 / KEYED</t>
  </si>
  <si>
    <t>NE-NP_LAKEVIEW</t>
  </si>
  <si>
    <t>4000 West Front St</t>
  </si>
  <si>
    <t>Site 220 P2-8</t>
  </si>
  <si>
    <t>MONOPOLE (150')</t>
  </si>
  <si>
    <t>MUNICIPAL L&amp;P</t>
  </si>
  <si>
    <t>NE-SUTHERLAND</t>
  </si>
  <si>
    <t>30723 W. Tower Road</t>
  </si>
  <si>
    <t>Sutherland</t>
  </si>
  <si>
    <t>Site 223 P2-8</t>
  </si>
  <si>
    <t>NE-MAXWELL</t>
  </si>
  <si>
    <t>383 South North Maxwell Rd</t>
  </si>
  <si>
    <t>Site 224 P2-8</t>
  </si>
  <si>
    <t>SELF SUPPORT (155' 8")</t>
  </si>
  <si>
    <t>NE-BRADY</t>
  </si>
  <si>
    <t>601 North Main Street</t>
  </si>
  <si>
    <t>Brady</t>
  </si>
  <si>
    <t>Site 241 P2-8</t>
  </si>
  <si>
    <t>GUYED TOWER (180')</t>
  </si>
  <si>
    <t>NE-NP_HOSP</t>
  </si>
  <si>
    <t>601 West Leota</t>
  </si>
  <si>
    <t>CITY OF NORTH PLATTE</t>
  </si>
  <si>
    <t>Site 243 P2-8</t>
  </si>
  <si>
    <t>ROOFTOP (40' 8")</t>
  </si>
  <si>
    <t>NE-NP_SE</t>
  </si>
  <si>
    <t>1210 Prospect Drive</t>
  </si>
  <si>
    <t>Site 249 P2-8</t>
  </si>
  <si>
    <t>NE-HERSHEY</t>
  </si>
  <si>
    <t>18653 W. Murray Road</t>
  </si>
  <si>
    <t>Hershey</t>
  </si>
  <si>
    <t>Site 335 P2-8</t>
  </si>
  <si>
    <t>SELF SUPPORT (150' 6")</t>
  </si>
  <si>
    <t>NE-NP_NORTH</t>
  </si>
  <si>
    <t>18172 Llama Road</t>
  </si>
  <si>
    <t>Stapleton</t>
  </si>
  <si>
    <t>Site 458 P2-8</t>
  </si>
  <si>
    <t>GUYED TOWER</t>
  </si>
  <si>
    <t>NE-NP_NW</t>
  </si>
  <si>
    <t>806 N. Carr Avenue</t>
  </si>
  <si>
    <t>Site 698 P2-8</t>
  </si>
  <si>
    <t>NE-NP_NLD</t>
  </si>
  <si>
    <t>2616 N. Buffalo Bill Ave</t>
  </si>
  <si>
    <t>Site 722 P2-8</t>
  </si>
  <si>
    <t>NE-NP_HS</t>
  </si>
  <si>
    <t>1220 W. A Street</t>
  </si>
  <si>
    <t>Site 811 P2-8</t>
  </si>
  <si>
    <t>Across the street from HS</t>
  </si>
  <si>
    <t>51031 / KEYED</t>
  </si>
  <si>
    <t>NE-NP_NE</t>
  </si>
  <si>
    <t>1606 E. 5th Street</t>
  </si>
  <si>
    <t>Site 887 P2-8</t>
  </si>
  <si>
    <t>NE-SUMNER</t>
  </si>
  <si>
    <t>604 W. 6th Ave</t>
  </si>
  <si>
    <t>Sumner</t>
  </si>
  <si>
    <t>DAWSON</t>
  </si>
  <si>
    <t>Site 54 P2-10</t>
  </si>
  <si>
    <t>Phase 6</t>
  </si>
  <si>
    <t>NE-LEXINGTON_TG</t>
  </si>
  <si>
    <t>43518 County Road 758</t>
  </si>
  <si>
    <t>Lexington</t>
  </si>
  <si>
    <t>Site 168 P2-10</t>
  </si>
  <si>
    <t>NE-LEXINGTON</t>
  </si>
  <si>
    <t>707 E. Walnut</t>
  </si>
  <si>
    <t>Site 216 P2-10</t>
  </si>
  <si>
    <t>CITY OF LEXINGTON</t>
  </si>
  <si>
    <t>NE-MILLER</t>
  </si>
  <si>
    <t>25780 Arrow Road</t>
  </si>
  <si>
    <t>Miller</t>
  </si>
  <si>
    <t>BUFFALO</t>
  </si>
  <si>
    <t>Site 324 P2-10</t>
  </si>
  <si>
    <t>NE-OVERTON</t>
  </si>
  <si>
    <t>100 Clinic Drive</t>
  </si>
  <si>
    <t>Overton</t>
  </si>
  <si>
    <t>Site 470 P2-10</t>
  </si>
  <si>
    <t>NE-LEXINGTON_NORTH</t>
  </si>
  <si>
    <t>203 East 20th</t>
  </si>
  <si>
    <t>Site 472 P2-10</t>
  </si>
  <si>
    <t>NE-LEXINGTON_WEST</t>
  </si>
  <si>
    <t>708 West Vine</t>
  </si>
  <si>
    <t>Site 481 P2-10</t>
  </si>
  <si>
    <t>SELF-SUPPORT (65' 9")</t>
  </si>
  <si>
    <t>NE-GOTHENBURG_WEST</t>
  </si>
  <si>
    <t>1715 4th Ave</t>
  </si>
  <si>
    <t>Gothenburg</t>
  </si>
  <si>
    <t>Site 582 P2-10</t>
  </si>
  <si>
    <t>NE-ELI</t>
  </si>
  <si>
    <t>34924 US Hwy 20</t>
  </si>
  <si>
    <t>Eli</t>
  </si>
  <si>
    <t>CHERRY</t>
  </si>
  <si>
    <t>Site ID 712 P3-22</t>
  </si>
  <si>
    <t>Phase 7</t>
  </si>
  <si>
    <t>LACREEK ELECTRIC</t>
  </si>
  <si>
    <t>12-1950</t>
  </si>
  <si>
    <t>1031/KEYED</t>
  </si>
  <si>
    <t>NE-VALENTINE_SOUTHEAST</t>
  </si>
  <si>
    <t>40421 US HWY 20</t>
  </si>
  <si>
    <t>Wood Lake</t>
  </si>
  <si>
    <t>Site ID 72 P3-22</t>
  </si>
  <si>
    <t>NE-LOUP_RIVER_NORTH</t>
  </si>
  <si>
    <t>86873 Canvasback Road</t>
  </si>
  <si>
    <t>Valentine</t>
  </si>
  <si>
    <t>Site ID 310 P3-22</t>
  </si>
  <si>
    <t>RBR RPPD</t>
  </si>
  <si>
    <t>NE-WOOD_LAKE</t>
  </si>
  <si>
    <t>208 Lincoln Street</t>
  </si>
  <si>
    <t>Site ID 317 P3-22</t>
  </si>
  <si>
    <t>NE-CODY</t>
  </si>
  <si>
    <t>34688 US Hwy 20</t>
  </si>
  <si>
    <t>Cody</t>
  </si>
  <si>
    <t>Site ID 415 P3-22</t>
  </si>
  <si>
    <t>KBR RPPD</t>
  </si>
  <si>
    <t>NE-LOUP_RIVER</t>
  </si>
  <si>
    <t>85575 US Hwy 83</t>
  </si>
  <si>
    <t>Brownlee</t>
  </si>
  <si>
    <t>Site ID 479 P3-22</t>
  </si>
  <si>
    <t>CUSTER PUBLIC POWER</t>
  </si>
  <si>
    <t>NE-VALENTINE_SW</t>
  </si>
  <si>
    <t>89573 State Hwy 97</t>
  </si>
  <si>
    <t>Site ID 573 P3-22</t>
  </si>
  <si>
    <t>NE-STEVERSON - 1</t>
  </si>
  <si>
    <t>86082 N. Whitman Road</t>
  </si>
  <si>
    <t>Hyannis</t>
  </si>
  <si>
    <t>Site ID 605 P3-22</t>
  </si>
  <si>
    <t>Prema</t>
  </si>
  <si>
    <t>P10054</t>
  </si>
  <si>
    <t>n/a</t>
  </si>
  <si>
    <t>NE-STEVERSON - 2</t>
  </si>
  <si>
    <t>NE-MERRITT_RESERVOIR</t>
  </si>
  <si>
    <t>37888 Mercure Road</t>
  </si>
  <si>
    <t>Site ID 606 P3-22</t>
  </si>
  <si>
    <t>TBD</t>
  </si>
  <si>
    <t>12838</t>
  </si>
  <si>
    <t>4WD REQUIRED</t>
  </si>
  <si>
    <t>ESCORT</t>
  </si>
  <si>
    <t>NE-GORDON</t>
  </si>
  <si>
    <t>89596 Rager Rd</t>
  </si>
  <si>
    <t>Gordon</t>
  </si>
  <si>
    <t>Site ID 705 P3-22</t>
  </si>
  <si>
    <t>NEBRASKA PUBLIC POWER DISTRICT</t>
  </si>
  <si>
    <t>NE-CROOKSTON_SOUTH</t>
  </si>
  <si>
    <t>38399 S. Crookston Rd</t>
  </si>
  <si>
    <t>Crookston</t>
  </si>
  <si>
    <t>Site ID 706 P3-22</t>
  </si>
  <si>
    <t>CHERRY - TODD ELECTRIC</t>
  </si>
  <si>
    <t>3' WASHOUT IN DRIVEWAY</t>
  </si>
  <si>
    <t>NE-MERRIMAN</t>
  </si>
  <si>
    <t>33211 Wiley Drive</t>
  </si>
  <si>
    <t>Merriman</t>
  </si>
  <si>
    <t>Site ID 711 P3-22</t>
  </si>
  <si>
    <t>154341537</t>
  </si>
  <si>
    <t>NE-VALENTINE</t>
  </si>
  <si>
    <t>238 North Main Street</t>
  </si>
  <si>
    <t>Site ID 714 P3-22</t>
  </si>
  <si>
    <t>CITY OF VALENTINE</t>
  </si>
  <si>
    <t>NE-VALENTINE_SOUTH</t>
  </si>
  <si>
    <t>88576 Hwy 83</t>
  </si>
  <si>
    <t>Site ID 747 P3-22</t>
  </si>
  <si>
    <t>NE-MERRIMAN_DT</t>
  </si>
  <si>
    <t>90282 State Highway 61</t>
  </si>
  <si>
    <t>Site ID 757 P3-22</t>
  </si>
  <si>
    <t>SELF-SUPPORT (120'-0")</t>
  </si>
  <si>
    <t>154347895</t>
  </si>
  <si>
    <t>NE-ROTHWELL</t>
  </si>
  <si>
    <t>16061 N. Hwy 61</t>
  </si>
  <si>
    <t>Site ID 761 P3-22</t>
  </si>
  <si>
    <t>P12954</t>
  </si>
  <si>
    <t>NE-VALENTINE_NE</t>
  </si>
  <si>
    <t>40249 State Highway 12</t>
  </si>
  <si>
    <t>Site ID 766 P3-22</t>
  </si>
  <si>
    <t>NE-MINOR_CAMP</t>
  </si>
  <si>
    <t>87612 State Highway 61</t>
  </si>
  <si>
    <t>Site ID 768 P3-22</t>
  </si>
  <si>
    <t>13-0025</t>
  </si>
  <si>
    <t>NE-JAMES_VALLEY</t>
  </si>
  <si>
    <t>87401 State Highway 61</t>
  </si>
  <si>
    <t>Site ID 919 P3-22</t>
  </si>
  <si>
    <t>P10126</t>
  </si>
  <si>
    <t>NE-MERRIMAN_SOUTH</t>
  </si>
  <si>
    <t>33766 Rockford Rd</t>
  </si>
  <si>
    <t>Site ID 940 P3-22</t>
  </si>
  <si>
    <t>75089733</t>
  </si>
  <si>
    <t>NE-MULLEN_NORTH</t>
  </si>
  <si>
    <t>85572 North Hwy #97</t>
  </si>
  <si>
    <t>Mullen</t>
  </si>
  <si>
    <t>Site ID 980 P3-22</t>
  </si>
  <si>
    <t>NE-HAY_SPRINGS_DT</t>
  </si>
  <si>
    <t>114 North Main Street</t>
  </si>
  <si>
    <t>Hay Springs</t>
  </si>
  <si>
    <t>SHERIDAN</t>
  </si>
  <si>
    <t>Site ID 97 P3-23</t>
  </si>
  <si>
    <t>Phase 8</t>
  </si>
  <si>
    <t>NE-WHITECLAY_SOUTH</t>
  </si>
  <si>
    <t>7298 370th Trail</t>
  </si>
  <si>
    <t>Rushville</t>
  </si>
  <si>
    <t>Site ID 175 P3-23</t>
  </si>
  <si>
    <t>Lock Stuck</t>
  </si>
  <si>
    <t>NE-ELLSWORTH_NORTH</t>
  </si>
  <si>
    <t>2673 State Highway 27</t>
  </si>
  <si>
    <t>Ellsworth</t>
  </si>
  <si>
    <t>Site ID 578 P3-23</t>
  </si>
  <si>
    <t>NE-HAY_SPRINGS</t>
  </si>
  <si>
    <t>5466 State Highway 87</t>
  </si>
  <si>
    <t>Site ID 680 P3-23</t>
  </si>
  <si>
    <t>GUYED TOWER (194')</t>
  </si>
  <si>
    <t>NRPPD</t>
  </si>
  <si>
    <t>NE-JACKELL</t>
  </si>
  <si>
    <t>4101 State Hwy 87</t>
  </si>
  <si>
    <t>Site ID 689 P3-23</t>
  </si>
  <si>
    <t>NE-BINGHAM</t>
  </si>
  <si>
    <t>1505 109th Trl</t>
  </si>
  <si>
    <t>Bingham</t>
  </si>
  <si>
    <t>Site ID 702 P3-23</t>
  </si>
  <si>
    <t>NE-RUSHVILLE_DT</t>
  </si>
  <si>
    <t>111 Emmert</t>
  </si>
  <si>
    <t>Site ID 707 P3-23</t>
  </si>
  <si>
    <t>SELF-SUPPORT (170-7'')</t>
  </si>
  <si>
    <t>NE-ELLSWORTH</t>
  </si>
  <si>
    <t>2668 State Highway 2</t>
  </si>
  <si>
    <t>Site ID 710 P3-23</t>
  </si>
  <si>
    <t>NE-CLINTON</t>
  </si>
  <si>
    <t>6122 280th LN</t>
  </si>
  <si>
    <t>Site ID 713 P3-23</t>
  </si>
  <si>
    <t>NE-GORDON_DT</t>
  </si>
  <si>
    <t>400 East Orin</t>
  </si>
  <si>
    <t>Site ID 746 P3-23</t>
  </si>
  <si>
    <t>NE-GORDON_NORTH</t>
  </si>
  <si>
    <t>7685 Hwy 27</t>
  </si>
  <si>
    <t>Site ID 758 P3-23</t>
  </si>
  <si>
    <t>NE-RUSHVILLE_NORTH</t>
  </si>
  <si>
    <t>7007 325 Trail</t>
  </si>
  <si>
    <t>Site ID 793 P3-23</t>
  </si>
  <si>
    <t>119668562 / 119667091</t>
  </si>
  <si>
    <t>NE-GORDON_SOUTH</t>
  </si>
  <si>
    <t>5268 Hwy 27</t>
  </si>
  <si>
    <t>Site ID 950 P3-23</t>
  </si>
  <si>
    <t>377-1</t>
  </si>
  <si>
    <t>NE-HAY_SPRINGS_GP - Shelter 1</t>
  </si>
  <si>
    <t>6084 450th Lane</t>
  </si>
  <si>
    <t>Sheridan</t>
  </si>
  <si>
    <t>Site ID 377 P3-23</t>
  </si>
  <si>
    <t>377-2</t>
  </si>
  <si>
    <t>NE-HAY_SPRINGS_GP - Shelter 2</t>
  </si>
  <si>
    <t>379-1</t>
  </si>
  <si>
    <t>NE-GORDON_GP - Shelter 1</t>
  </si>
  <si>
    <t>6199 190th Lane</t>
  </si>
  <si>
    <t>Site ID 379 P3-23</t>
  </si>
  <si>
    <t>379-2</t>
  </si>
  <si>
    <t>NE-GORDON_GP - Shelter 2</t>
  </si>
  <si>
    <t>NE-GI_NW</t>
  </si>
  <si>
    <t>2923 N. North Road</t>
  </si>
  <si>
    <t>Grand Island</t>
  </si>
  <si>
    <t>HALL</t>
  </si>
  <si>
    <t>Site ID 28 P2</t>
  </si>
  <si>
    <t>Phase 9</t>
  </si>
  <si>
    <t>SELF-SUPPORT (100')</t>
  </si>
  <si>
    <t>City of Grand Island</t>
  </si>
  <si>
    <t>NE-SPRINGVIEW_COURTHOUSE</t>
  </si>
  <si>
    <t>310 Courthouse Drive</t>
  </si>
  <si>
    <t>Springview</t>
  </si>
  <si>
    <t>Site ID 78 P2-20</t>
  </si>
  <si>
    <t>Rooftop</t>
  </si>
  <si>
    <t>NE-SPARKS_NE</t>
  </si>
  <si>
    <t>42332 Lost Creek Road</t>
  </si>
  <si>
    <t>Site ID 113 P2-20</t>
  </si>
  <si>
    <t>Self-Supporting Tower</t>
  </si>
  <si>
    <t xml:space="preserve">NPPD  </t>
  </si>
  <si>
    <t>NE-AINSWORTH</t>
  </si>
  <si>
    <t>111 W. 4th ST.</t>
  </si>
  <si>
    <t>Ainsworth</t>
  </si>
  <si>
    <t>BROWN</t>
  </si>
  <si>
    <t>Site ID 206 P2-20</t>
  </si>
  <si>
    <t>NE-NORFOLK_CITY_UTILITIES</t>
  </si>
  <si>
    <t>25th &amp; Prospect</t>
  </si>
  <si>
    <t>Norfolk</t>
  </si>
  <si>
    <t>Madison</t>
  </si>
  <si>
    <t>Site ID 253 P2-18</t>
  </si>
  <si>
    <t>chris Bolton 308-370-1857  chris.bolton@viaero.com</t>
  </si>
  <si>
    <t>NE-LONG_PINE</t>
  </si>
  <si>
    <t>101 N. Cedar Street</t>
  </si>
  <si>
    <t>Long Pine</t>
  </si>
  <si>
    <t>Site ID 312 P2-20</t>
  </si>
  <si>
    <t>NE-ARNOLD_DT</t>
  </si>
  <si>
    <t>80078 Dunning Road</t>
  </si>
  <si>
    <t>Arnold</t>
  </si>
  <si>
    <t>Site ID 325 P2-16</t>
  </si>
  <si>
    <t>NE-ANSELMO_EAST</t>
  </si>
  <si>
    <t>43700 Dr. 816</t>
  </si>
  <si>
    <t>Anselmo</t>
  </si>
  <si>
    <t>Site ID 374 P2-16</t>
  </si>
  <si>
    <t>NE-ARNOLD_GP</t>
  </si>
  <si>
    <t>80230 Dunning Rd</t>
  </si>
  <si>
    <t>Site ID 376 P2-16</t>
  </si>
  <si>
    <t>Guyed Tower</t>
  </si>
  <si>
    <t>NE-JOHNSTOWN</t>
  </si>
  <si>
    <t>41745 US Hwy 20</t>
  </si>
  <si>
    <t>Johnstown</t>
  </si>
  <si>
    <t>Site ID 418 P2-20</t>
  </si>
  <si>
    <t>NE-ANSELMO</t>
  </si>
  <si>
    <t>81671 Road 428</t>
  </si>
  <si>
    <t>Site ID 436 P2-16</t>
  </si>
  <si>
    <t>NE-MERNA</t>
  </si>
  <si>
    <t>42893 Road 805</t>
  </si>
  <si>
    <t>Merna</t>
  </si>
  <si>
    <t>Site ID 437 P2-16</t>
  </si>
  <si>
    <t>NE-BURTON_WEST</t>
  </si>
  <si>
    <t>90363 Jordan Valley Ave</t>
  </si>
  <si>
    <t>Site ID 494 P2-20</t>
  </si>
  <si>
    <t>BURT COUNTY PPD</t>
  </si>
  <si>
    <t>NE-SPRINGVIEW_SW</t>
  </si>
  <si>
    <t>89503 436th Ave</t>
  </si>
  <si>
    <t>Site ID 497 P2-20</t>
  </si>
  <si>
    <t>NE-SPARKS_SOUTH</t>
  </si>
  <si>
    <t>41567 River Road</t>
  </si>
  <si>
    <t>Sparks</t>
  </si>
  <si>
    <t>Site ID 498 P2-20</t>
  </si>
  <si>
    <t>NE-AINSWORTH_SOUTH</t>
  </si>
  <si>
    <t>42992 Paradise Valley Road</t>
  </si>
  <si>
    <t>Site ID 542 P2-20</t>
  </si>
  <si>
    <t>NE-BREWSTER_NORTH</t>
  </si>
  <si>
    <t>85065 State Hwy 7</t>
  </si>
  <si>
    <t>Site ID 569 P2-20</t>
  </si>
  <si>
    <t>NE-FOSTER</t>
  </si>
  <si>
    <t>85801 543rd Avenue</t>
  </si>
  <si>
    <t>Foster</t>
  </si>
  <si>
    <t>Pierce</t>
  </si>
  <si>
    <t>Site ID 1058 P2-18</t>
  </si>
  <si>
    <t>Northeast Nebraska PPD</t>
  </si>
  <si>
    <t>NE-ROCKVILLE</t>
  </si>
  <si>
    <t>77962 Rockville Ave</t>
  </si>
  <si>
    <t>Rockville</t>
  </si>
  <si>
    <t>Sherman</t>
  </si>
  <si>
    <t>Site ID 1071 P2-15</t>
  </si>
  <si>
    <t>Power Loup Valley RPPD</t>
  </si>
  <si>
    <t>LV-6457</t>
  </si>
  <si>
    <t>NE-BERWYN</t>
  </si>
  <si>
    <t>79400 South Berwyn Road</t>
  </si>
  <si>
    <t>Berwyn</t>
  </si>
  <si>
    <t>Custer</t>
  </si>
  <si>
    <t>Site ID 1082 P2-16</t>
  </si>
  <si>
    <t>Custer Public Power</t>
  </si>
  <si>
    <t>NE-INLAND</t>
  </si>
  <si>
    <t>433 Road 318</t>
  </si>
  <si>
    <t>Inland</t>
  </si>
  <si>
    <t>Clay</t>
  </si>
  <si>
    <t>Site ID 1089 P2-10</t>
  </si>
  <si>
    <t>No Meter</t>
  </si>
  <si>
    <t>Under Construction</t>
  </si>
  <si>
    <t>NE-PAULINE</t>
  </si>
  <si>
    <t>14355 S Blaine Ave</t>
  </si>
  <si>
    <t>Blue Hill</t>
  </si>
  <si>
    <t>Adams</t>
  </si>
  <si>
    <t>Site ID 1092 P2-10</t>
  </si>
  <si>
    <t>KS-WESKAN</t>
  </si>
  <si>
    <t>515 Chelsey Avenue</t>
  </si>
  <si>
    <t xml:space="preserve"> Weskan</t>
  </si>
  <si>
    <t>KS</t>
  </si>
  <si>
    <t>Traing sites</t>
  </si>
  <si>
    <t>Training</t>
  </si>
  <si>
    <t>SELF-SUPPORT (195')</t>
  </si>
  <si>
    <t>Trid3nt</t>
  </si>
  <si>
    <t>KS-SHARON_SPRINGS</t>
  </si>
  <si>
    <t>901 North Hwy 27</t>
  </si>
  <si>
    <t xml:space="preserve"> Sharon Springs</t>
  </si>
  <si>
    <t>Training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</si>
</sst>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wrapText="1"/>
    </xf>
    <xf numFmtId="0" fontId="1" fillId="4" borderId="0" xfId="0" applyFont="1" applyFill="1"/>
    <xf numFmtId="0" fontId="1" fillId="0" borderId="1" xfId="0" applyFont="1" applyBorder="1"/>
    <xf numFmtId="0" fontId="1" fillId="5" borderId="0" xfId="0" applyFont="1" applyFill="1"/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4" fontId="1" fillId="2" borderId="0" xfId="0" applyNumberFormat="1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wrapText="1"/>
    </xf>
    <xf numFmtId="164" fontId="1" fillId="3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top" wrapText="1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[$-F400]h:mm:ss\ AM/PM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[$-F400]h:mm:ss\ AM/PM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D6016-D010-4B88-BCC8-6DFF81D80C8A}" name="Table1" displayName="Table1" ref="A1:AP835" totalsRowShown="0" headerRowDxfId="43" dataDxfId="42">
  <autoFilter ref="A1:AP835" xr:uid="{594D6016-D010-4B88-BCC8-6DFF81D80C8A}"/>
  <sortState xmlns:xlrd2="http://schemas.microsoft.com/office/spreadsheetml/2017/richdata2" ref="A2:AP835">
    <sortCondition ref="K1:K835"/>
  </sortState>
  <tableColumns count="42">
    <tableColumn id="1" xr3:uid="{3C07AC5F-1CDB-44A3-B79D-D5D61FC9079B}" name="SiteID" dataDxfId="41"/>
    <tableColumn id="2" xr3:uid="{83B96167-BA30-4D57-9F7F-3E64FE73410B}" name="SiteName" dataDxfId="40"/>
    <tableColumn id="3" xr3:uid="{EB8FDEB0-17B2-4DB1-ACF8-C8F7B3DCD531}" name="Address" dataDxfId="39"/>
    <tableColumn id="4" xr3:uid="{D8F8D90E-A5EA-466B-84E5-4810BD406392}" name="City" dataDxfId="38"/>
    <tableColumn id="5" xr3:uid="{7A2B760E-05EA-48EC-839E-C1C212764CEB}" name="State" dataDxfId="37"/>
    <tableColumn id="6" xr3:uid="{50099C10-902B-4332-A2FB-794084B7F255}" name="Zip" dataDxfId="36"/>
    <tableColumn id="7" xr3:uid="{D28EB164-A0AF-4C5E-85FB-F29188144E93}" name="County" dataDxfId="35"/>
    <tableColumn id="34" xr3:uid="{FB86D0DA-BBF7-41E7-8EBE-35C197F7DC87}" name="Latitude" dataDxfId="34"/>
    <tableColumn id="35" xr3:uid="{04F70BE7-3E59-4AF1-B719-8D764A751364}" name="Longitude" dataDxfId="33"/>
    <tableColumn id="33" xr3:uid="{7BE7D5A4-D731-498B-9C66-8D9E345A789B}" name="Notes" dataDxfId="32"/>
    <tableColumn id="32" xr3:uid="{3DB95C81-15EE-4896-A112-1769FD89829C}" name="Group" dataDxfId="31"/>
    <tableColumn id="8" xr3:uid="{235C01DC-B92E-4DBC-BAB7-603745CC1132}" name="Tower Owner" dataDxfId="30"/>
    <tableColumn id="26" xr3:uid="{C175F9FD-AF96-4C9F-84A3-1107F6F61EA3}" name="Tower Owner Site Number" dataDxfId="29"/>
    <tableColumn id="9" xr3:uid="{4D8A3DB7-D0E5-4514-9CDD-364A80E04DEB}" name="Viaero POC" dataDxfId="28"/>
    <tableColumn id="10" xr3:uid="{43E779A8-91B5-456A-A577-F7E9621BA1AF}" name="Site Type" dataDxfId="27"/>
    <tableColumn id="31" xr3:uid="{B9086296-EEA8-4D7A-91C8-154B9CDE9FED}" name="Lease Area Type" dataDxfId="26"/>
    <tableColumn id="11" xr3:uid="{0AE52200-9C02-4347-94F3-72FDF382D55D}" name="Power Company" dataDxfId="25"/>
    <tableColumn id="12" xr3:uid="{ADBC7F47-63EA-41CE-88A1-B5E09AF284AF}" name="Meter Number" dataDxfId="24"/>
    <tableColumn id="13" xr3:uid="{2196366C-D637-49AC-9005-18D3F211ADA2}" name="Telco / Fiber Provider" dataDxfId="23"/>
    <tableColumn id="14" xr3:uid="{A5CC1D9D-58E3-4775-BD76-B05B871A1ED1}" name="Telco / Fiber POC" dataDxfId="22"/>
    <tableColumn id="15" xr3:uid="{AC79E3F6-0EA4-4FC9-A580-06CBBEAD3611}" name="Measurement 1 (inches)" dataDxfId="21"/>
    <tableColumn id="16" xr3:uid="{42E5B87C-1202-44B1-82A1-765F72F0F9DB}" name="Measurement 2 (inches)" dataDxfId="20"/>
    <tableColumn id="17" xr3:uid="{3D10559C-B26E-4DB1-B647-BF412DCFACDA}" name="Measurement 3 (inches)" dataDxfId="19"/>
    <tableColumn id="18" xr3:uid="{A2FFD5FC-A8A8-4E7F-BCDB-01F2FB612A88}" name="Measurement 4 (inches)" dataDxfId="18"/>
    <tableColumn id="19" xr3:uid="{AC9890C7-E35C-4B81-9741-DE0834E60CA7}" name="Measurement 5 (inches)" dataDxfId="17"/>
    <tableColumn id="20" xr3:uid="{F2DEDA71-1CA0-42D0-A831-3F67211A0858}" name="Measurement 6 (inches)" dataDxfId="16"/>
    <tableColumn id="21" xr3:uid="{4A167C7E-776F-4F09-BDAF-45398DA08F89}" name="Measurement 7 (inches)" dataDxfId="15"/>
    <tableColumn id="22" xr3:uid="{4E69A458-D6E4-444F-8C8D-5237DD8E00FE}" name="Measurement 8 (inches)" dataDxfId="14"/>
    <tableColumn id="23" xr3:uid="{614B8253-8FAE-4758-A98D-4E999B9CD7A6}" name="Measurement 9 (inches)" dataDxfId="13"/>
    <tableColumn id="24" xr3:uid="{62C26CBA-9518-4138-8A02-145DD5598A79}" name="Measurement 10 (feet)" dataDxfId="12"/>
    <tableColumn id="25" xr3:uid="{3A690860-D177-46C9-8ED1-B3AABE02712A}" name="Measurement 11 (feet)" dataDxfId="11"/>
    <tableColumn id="30" xr3:uid="{CD56A154-AF4E-486E-B054-A1A45E58C572}" name="Walked By" dataDxfId="10"/>
    <tableColumn id="36" xr3:uid="{B4C5523C-14FF-4534-8721-DB4FBBEEADA0}" name="Date Walked" dataDxfId="9"/>
    <tableColumn id="37" xr3:uid="{E6159917-F722-4ABA-A1C6-EC73AC45ED7A}" name="Checked In" dataDxfId="8"/>
    <tableColumn id="38" xr3:uid="{1425C624-0522-4689-B1ED-CC02D244699A}" name="Checked Out" dataDxfId="7"/>
    <tableColumn id="27" xr3:uid="{CD65ED91-D56E-4438-A8C9-1DAD1432E9BA}" name="Lease Area Issues" dataDxfId="6"/>
    <tableColumn id="28" xr3:uid="{883B1982-C9FD-4182-9199-536C2C9CF802}" name="Gate/Shelter Code" dataDxfId="5"/>
    <tableColumn id="29" xr3:uid="{FE4F8BF1-6A90-4F61-B253-3CFD165BA8F7}" name="Photos Uploaded" dataDxfId="4"/>
    <tableColumn id="41" xr3:uid="{E07BBC23-6B47-405E-A03E-BA823A428768}" name="Site Walk Form Uploaded" dataDxfId="3"/>
    <tableColumn id="40" xr3:uid="{D1753AFA-E9EF-4E05-8D55-5B3582046B39}" name="Measurements PDF Uploaded" dataDxfId="2"/>
    <tableColumn id="42" xr3:uid="{906075F5-34E1-4D97-A8CD-CFB7461D52C5}" name="Confirmation Email Recv'd" dataDxfId="1"/>
    <tableColumn id="39" xr3:uid="{00D32A89-F3B1-45FF-A34E-3606C60B3646}" name="Action Nee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6645-3E73-4FC0-9C53-8BE09CC5B585}">
  <dimension ref="A1:AP835"/>
  <sheetViews>
    <sheetView tabSelected="1" zoomScaleNormal="100" workbookViewId="0">
      <pane xSplit="2" ySplit="1" topLeftCell="C43" activePane="bottomRight" state="frozen"/>
      <selection pane="bottomRight" activeCell="AL127" sqref="AL127"/>
      <selection pane="bottomLeft" activeCell="A2" sqref="A2"/>
      <selection pane="topRight" activeCell="C1" sqref="C1"/>
    </sheetView>
  </sheetViews>
  <sheetFormatPr defaultColWidth="9.140625" defaultRowHeight="10.9"/>
  <cols>
    <col min="1" max="1" width="7.42578125" style="1" bestFit="1" customWidth="1"/>
    <col min="2" max="2" width="22.140625" style="1" bestFit="1" customWidth="1"/>
    <col min="3" max="3" width="19.140625" style="1" customWidth="1"/>
    <col min="4" max="4" width="10.85546875" style="1" customWidth="1"/>
    <col min="5" max="5" width="6.85546875" style="1" customWidth="1"/>
    <col min="6" max="6" width="5.28515625" style="1" customWidth="1"/>
    <col min="7" max="7" width="15.85546875" style="1" customWidth="1"/>
    <col min="8" max="8" width="10.42578125" style="1" customWidth="1"/>
    <col min="9" max="9" width="10.85546875" style="1" customWidth="1"/>
    <col min="10" max="10" width="21" style="1" customWidth="1"/>
    <col min="11" max="11" width="7.42578125" style="1" customWidth="1"/>
    <col min="12" max="12" width="18.140625" style="1" customWidth="1"/>
    <col min="13" max="13" width="16.7109375" style="9" customWidth="1"/>
    <col min="14" max="14" width="42.85546875" style="1" customWidth="1"/>
    <col min="15" max="15" width="16.5703125" style="1" customWidth="1"/>
    <col min="16" max="16" width="13.85546875" style="1" customWidth="1"/>
    <col min="17" max="17" width="29" style="1" customWidth="1"/>
    <col min="18" max="18" width="16.28515625" style="23" customWidth="1"/>
    <col min="19" max="19" width="17.5703125" style="1" customWidth="1"/>
    <col min="20" max="20" width="9.7109375" style="1" customWidth="1"/>
    <col min="21" max="31" width="12.140625" style="9" customWidth="1"/>
    <col min="32" max="32" width="18" style="9" customWidth="1"/>
    <col min="33" max="33" width="11.5703125" style="2" customWidth="1"/>
    <col min="34" max="34" width="10.7109375" style="3" customWidth="1"/>
    <col min="35" max="35" width="11.85546875" style="3" customWidth="1"/>
    <col min="36" max="36" width="21.42578125" style="3" customWidth="1"/>
    <col min="37" max="37" width="14" style="3" customWidth="1"/>
    <col min="38" max="38" width="14.7109375" style="5" customWidth="1"/>
    <col min="39" max="39" width="13.140625" style="6" customWidth="1"/>
    <col min="40" max="40" width="13.28515625" style="7" customWidth="1"/>
    <col min="41" max="41" width="12.140625" style="7" customWidth="1"/>
    <col min="42" max="42" width="14.140625" style="1" bestFit="1" customWidth="1"/>
    <col min="43" max="16384" width="9.140625" style="1"/>
  </cols>
  <sheetData>
    <row r="1" spans="1:42" s="16" customFormat="1" ht="21.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24" t="s">
        <v>12</v>
      </c>
      <c r="N1" s="16" t="s">
        <v>13</v>
      </c>
      <c r="O1" s="16" t="s">
        <v>14</v>
      </c>
      <c r="P1" s="16" t="s">
        <v>15</v>
      </c>
      <c r="Q1" s="17" t="s">
        <v>16</v>
      </c>
      <c r="R1" s="22" t="s">
        <v>17</v>
      </c>
      <c r="S1" s="17" t="s">
        <v>18</v>
      </c>
      <c r="T1" s="17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17" t="s">
        <v>31</v>
      </c>
      <c r="AG1" s="18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</row>
    <row r="2" spans="1:42" ht="32.450000000000003">
      <c r="A2" s="1">
        <v>1</v>
      </c>
      <c r="B2" s="1" t="s">
        <v>42</v>
      </c>
      <c r="C2" s="1" t="s">
        <v>43</v>
      </c>
      <c r="D2" s="1" t="s">
        <v>44</v>
      </c>
      <c r="E2" s="1" t="s">
        <v>45</v>
      </c>
      <c r="F2" s="1">
        <v>68939</v>
      </c>
      <c r="G2" s="1" t="s">
        <v>46</v>
      </c>
      <c r="H2" s="1">
        <v>40.091929999999998</v>
      </c>
      <c r="I2" s="1">
        <v>-98.959909999999994</v>
      </c>
      <c r="J2" s="1" t="s">
        <v>47</v>
      </c>
      <c r="K2" s="1" t="s">
        <v>48</v>
      </c>
      <c r="L2" s="1" t="s">
        <v>49</v>
      </c>
      <c r="M2" s="9">
        <v>1304476</v>
      </c>
      <c r="N2" s="1" t="s">
        <v>50</v>
      </c>
      <c r="O2" s="1" t="s">
        <v>51</v>
      </c>
      <c r="P2" s="1" t="s">
        <v>52</v>
      </c>
      <c r="Q2" s="1" t="s">
        <v>53</v>
      </c>
      <c r="R2" s="9">
        <v>141521220</v>
      </c>
      <c r="S2" s="1" t="s">
        <v>54</v>
      </c>
      <c r="T2" s="1" t="s">
        <v>55</v>
      </c>
      <c r="U2" s="9">
        <v>134</v>
      </c>
      <c r="V2" s="9">
        <v>127</v>
      </c>
      <c r="W2" s="9">
        <v>181</v>
      </c>
      <c r="X2" s="9">
        <v>157</v>
      </c>
      <c r="Y2" s="9">
        <v>227</v>
      </c>
      <c r="Z2" s="9">
        <v>170</v>
      </c>
      <c r="AA2" s="9">
        <v>72</v>
      </c>
      <c r="AB2" s="9">
        <v>112</v>
      </c>
      <c r="AC2" s="9">
        <v>84</v>
      </c>
      <c r="AE2" s="9">
        <v>18</v>
      </c>
      <c r="AF2" s="9" t="s">
        <v>56</v>
      </c>
      <c r="AG2" s="2">
        <v>45873</v>
      </c>
      <c r="AH2" s="3">
        <v>0.42499999999999999</v>
      </c>
      <c r="AI2" s="3">
        <v>0.48958333333333331</v>
      </c>
      <c r="AJ2" s="10" t="s">
        <v>57</v>
      </c>
      <c r="AK2" s="8" t="s">
        <v>58</v>
      </c>
      <c r="AL2" s="5" t="s">
        <v>59</v>
      </c>
      <c r="AM2" s="5" t="s">
        <v>59</v>
      </c>
      <c r="AN2" s="5" t="s">
        <v>59</v>
      </c>
      <c r="AO2" s="15" t="s">
        <v>60</v>
      </c>
      <c r="AP2" s="4" t="s">
        <v>61</v>
      </c>
    </row>
    <row r="3" spans="1:42">
      <c r="A3" s="1">
        <v>252</v>
      </c>
      <c r="B3" s="13" t="s">
        <v>62</v>
      </c>
      <c r="C3" s="1" t="s">
        <v>63</v>
      </c>
      <c r="D3" s="1" t="s">
        <v>64</v>
      </c>
      <c r="E3" s="1" t="s">
        <v>45</v>
      </c>
      <c r="F3" s="1">
        <v>68930</v>
      </c>
      <c r="G3" s="1" t="s">
        <v>65</v>
      </c>
      <c r="H3" s="1">
        <v>40.334961069999999</v>
      </c>
      <c r="I3" s="1">
        <v>-98.451948999999999</v>
      </c>
      <c r="J3" s="1" t="s">
        <v>66</v>
      </c>
      <c r="K3" s="1" t="s">
        <v>48</v>
      </c>
      <c r="L3" s="1" t="s">
        <v>49</v>
      </c>
      <c r="M3" s="9">
        <v>1249063</v>
      </c>
      <c r="N3" s="1" t="s">
        <v>50</v>
      </c>
      <c r="O3" s="1" t="s">
        <v>67</v>
      </c>
      <c r="P3" s="1" t="s">
        <v>52</v>
      </c>
      <c r="Q3" s="1" t="s">
        <v>68</v>
      </c>
      <c r="R3" s="9">
        <v>106314309</v>
      </c>
      <c r="S3" s="1" t="s">
        <v>54</v>
      </c>
      <c r="T3" s="1" t="s">
        <v>55</v>
      </c>
      <c r="U3" s="9">
        <v>104</v>
      </c>
      <c r="V3" s="9">
        <v>215</v>
      </c>
      <c r="W3" s="9">
        <v>206</v>
      </c>
      <c r="X3" s="9">
        <v>96</v>
      </c>
      <c r="Y3" s="9">
        <v>150</v>
      </c>
      <c r="Z3" s="9">
        <v>65</v>
      </c>
      <c r="AA3" s="9">
        <v>91</v>
      </c>
      <c r="AB3" s="9">
        <v>60</v>
      </c>
      <c r="AC3" s="9">
        <v>32</v>
      </c>
      <c r="AD3" s="9" t="s">
        <v>69</v>
      </c>
      <c r="AE3" s="9">
        <v>22</v>
      </c>
      <c r="AF3" s="9" t="s">
        <v>70</v>
      </c>
      <c r="AG3" s="2">
        <v>45917</v>
      </c>
      <c r="AH3" s="3">
        <v>0.47916666666666669</v>
      </c>
      <c r="AI3" s="3">
        <v>0.625</v>
      </c>
      <c r="AJ3" s="10" t="s">
        <v>57</v>
      </c>
      <c r="AK3" s="8" t="s">
        <v>58</v>
      </c>
      <c r="AL3" s="5" t="s">
        <v>59</v>
      </c>
      <c r="AM3" s="5" t="s">
        <v>59</v>
      </c>
      <c r="AN3" s="5" t="s">
        <v>59</v>
      </c>
      <c r="AO3" s="14">
        <v>45919</v>
      </c>
      <c r="AP3" s="4" t="s">
        <v>61</v>
      </c>
    </row>
    <row r="4" spans="1:42" ht="21.6">
      <c r="A4" s="1">
        <v>263</v>
      </c>
      <c r="B4" s="1" t="s">
        <v>71</v>
      </c>
      <c r="C4" s="1">
        <f>H10</f>
        <v>42.076477779999998</v>
      </c>
      <c r="D4" s="1" t="s">
        <v>72</v>
      </c>
      <c r="E4" s="1" t="s">
        <v>45</v>
      </c>
      <c r="F4" s="1">
        <v>68950</v>
      </c>
      <c r="G4" s="1" t="s">
        <v>73</v>
      </c>
      <c r="H4" s="1">
        <v>40.467627810000003</v>
      </c>
      <c r="I4" s="1">
        <v>-98.652032500000004</v>
      </c>
      <c r="J4" s="1" t="s">
        <v>74</v>
      </c>
      <c r="K4" s="1" t="s">
        <v>48</v>
      </c>
      <c r="L4" s="1" t="s">
        <v>49</v>
      </c>
      <c r="M4" s="9">
        <v>1250034</v>
      </c>
      <c r="N4" s="1" t="s">
        <v>50</v>
      </c>
      <c r="O4" s="1" t="s">
        <v>75</v>
      </c>
      <c r="P4" s="1" t="s">
        <v>52</v>
      </c>
      <c r="Q4" s="1" t="s">
        <v>53</v>
      </c>
      <c r="R4" s="9">
        <v>135448585</v>
      </c>
      <c r="S4" s="1" t="s">
        <v>54</v>
      </c>
      <c r="T4" s="1" t="s">
        <v>55</v>
      </c>
      <c r="U4" s="9">
        <v>134</v>
      </c>
      <c r="V4" s="9">
        <v>168</v>
      </c>
      <c r="W4" s="9">
        <v>212</v>
      </c>
      <c r="X4" s="9">
        <v>95</v>
      </c>
      <c r="Y4" s="9">
        <v>202</v>
      </c>
      <c r="Z4" s="9">
        <v>218</v>
      </c>
      <c r="AA4" s="9">
        <v>228</v>
      </c>
      <c r="AB4" s="9">
        <v>62</v>
      </c>
      <c r="AC4" s="9">
        <v>72</v>
      </c>
      <c r="AD4" s="9" t="s">
        <v>69</v>
      </c>
      <c r="AE4" s="9" t="s">
        <v>69</v>
      </c>
      <c r="AF4" s="9" t="s">
        <v>56</v>
      </c>
      <c r="AJ4" s="10" t="s">
        <v>57</v>
      </c>
      <c r="AK4" s="8" t="s">
        <v>58</v>
      </c>
      <c r="AL4" s="5" t="s">
        <v>59</v>
      </c>
      <c r="AM4" s="5" t="s">
        <v>59</v>
      </c>
      <c r="AN4" s="5" t="s">
        <v>59</v>
      </c>
      <c r="AO4" s="15" t="s">
        <v>76</v>
      </c>
      <c r="AP4" s="4" t="s">
        <v>61</v>
      </c>
    </row>
    <row r="5" spans="1:42" ht="21.6">
      <c r="A5" s="1">
        <v>336</v>
      </c>
      <c r="B5" s="1" t="s">
        <v>77</v>
      </c>
      <c r="C5" s="1" t="s">
        <v>78</v>
      </c>
      <c r="D5" s="1" t="s">
        <v>79</v>
      </c>
      <c r="E5" s="1" t="s">
        <v>45</v>
      </c>
      <c r="F5" s="1">
        <v>68981</v>
      </c>
      <c r="G5" s="1" t="s">
        <v>46</v>
      </c>
      <c r="H5" s="1">
        <v>40.318689999999997</v>
      </c>
      <c r="I5" s="1">
        <v>-98.90531</v>
      </c>
      <c r="J5" s="1" t="s">
        <v>80</v>
      </c>
      <c r="K5" s="1" t="s">
        <v>48</v>
      </c>
      <c r="L5" s="1" t="s">
        <v>49</v>
      </c>
      <c r="M5" s="9">
        <v>1282637</v>
      </c>
      <c r="N5" s="1" t="s">
        <v>50</v>
      </c>
      <c r="O5" s="1" t="s">
        <v>75</v>
      </c>
      <c r="P5" s="1" t="s">
        <v>52</v>
      </c>
      <c r="Q5" s="1" t="s">
        <v>53</v>
      </c>
      <c r="R5" s="9">
        <v>141023979</v>
      </c>
      <c r="S5" s="1" t="s">
        <v>54</v>
      </c>
      <c r="T5" s="1" t="s">
        <v>55</v>
      </c>
      <c r="U5" s="9">
        <v>139</v>
      </c>
      <c r="V5" s="9">
        <v>220</v>
      </c>
      <c r="W5" s="9">
        <v>250</v>
      </c>
      <c r="X5" s="9">
        <v>100</v>
      </c>
      <c r="Y5" s="9">
        <v>215</v>
      </c>
      <c r="Z5" s="9">
        <v>93</v>
      </c>
      <c r="AA5" s="9">
        <v>93</v>
      </c>
      <c r="AB5" s="9">
        <v>30</v>
      </c>
      <c r="AC5" s="9">
        <v>89</v>
      </c>
      <c r="AD5" s="9" t="s">
        <v>69</v>
      </c>
      <c r="AE5" s="9" t="s">
        <v>69</v>
      </c>
      <c r="AF5" s="9" t="s">
        <v>56</v>
      </c>
      <c r="AG5" s="2">
        <v>45874</v>
      </c>
      <c r="AH5" s="3">
        <v>0.32291666666666669</v>
      </c>
      <c r="AI5" s="3">
        <v>0.38541666666666669</v>
      </c>
      <c r="AJ5" s="10" t="s">
        <v>57</v>
      </c>
      <c r="AK5" s="8" t="s">
        <v>58</v>
      </c>
      <c r="AL5" s="5" t="s">
        <v>59</v>
      </c>
      <c r="AM5" s="5" t="s">
        <v>59</v>
      </c>
      <c r="AN5" s="5" t="s">
        <v>59</v>
      </c>
      <c r="AO5" s="15" t="s">
        <v>76</v>
      </c>
      <c r="AP5" s="4" t="s">
        <v>61</v>
      </c>
    </row>
    <row r="6" spans="1:42">
      <c r="A6" s="1">
        <v>337</v>
      </c>
      <c r="B6" s="1" t="s">
        <v>81</v>
      </c>
      <c r="C6" s="1" t="s">
        <v>82</v>
      </c>
      <c r="D6" s="1" t="s">
        <v>83</v>
      </c>
      <c r="E6" s="1" t="s">
        <v>45</v>
      </c>
      <c r="F6" s="1">
        <v>68932</v>
      </c>
      <c r="G6" s="1" t="s">
        <v>46</v>
      </c>
      <c r="H6" s="1">
        <v>40.292083310000002</v>
      </c>
      <c r="I6" s="1">
        <v>-98.735943599999999</v>
      </c>
      <c r="J6" s="1" t="s">
        <v>84</v>
      </c>
      <c r="K6" s="1" t="s">
        <v>48</v>
      </c>
      <c r="L6" s="1" t="s">
        <v>49</v>
      </c>
      <c r="M6" s="9">
        <v>1282570</v>
      </c>
      <c r="N6" s="1" t="s">
        <v>50</v>
      </c>
      <c r="O6" s="1" t="s">
        <v>75</v>
      </c>
      <c r="P6" s="1" t="s">
        <v>52</v>
      </c>
      <c r="Q6" s="1" t="s">
        <v>53</v>
      </c>
      <c r="R6" s="9">
        <v>90326405</v>
      </c>
      <c r="S6" s="1" t="s">
        <v>54</v>
      </c>
      <c r="T6" s="1" t="s">
        <v>55</v>
      </c>
      <c r="U6" s="9">
        <v>144</v>
      </c>
      <c r="V6" s="9">
        <v>221</v>
      </c>
      <c r="W6" s="9">
        <v>238</v>
      </c>
      <c r="X6" s="9">
        <v>102</v>
      </c>
      <c r="Y6" s="9">
        <v>218</v>
      </c>
      <c r="Z6" s="9">
        <v>301</v>
      </c>
      <c r="AA6" s="9">
        <v>254</v>
      </c>
      <c r="AB6" s="9">
        <v>50</v>
      </c>
      <c r="AC6" s="9">
        <v>96</v>
      </c>
      <c r="AD6" s="9" t="s">
        <v>69</v>
      </c>
      <c r="AE6" s="9" t="s">
        <v>69</v>
      </c>
      <c r="AF6" s="9" t="s">
        <v>56</v>
      </c>
      <c r="AG6" s="2">
        <v>45874</v>
      </c>
      <c r="AH6" s="3">
        <v>0.40277777777777779</v>
      </c>
      <c r="AI6" s="3">
        <v>0.45833333333333331</v>
      </c>
      <c r="AJ6" s="10" t="s">
        <v>57</v>
      </c>
      <c r="AK6" s="8" t="s">
        <v>58</v>
      </c>
      <c r="AL6" s="5" t="s">
        <v>59</v>
      </c>
      <c r="AM6" s="5" t="s">
        <v>59</v>
      </c>
      <c r="AN6" s="5" t="s">
        <v>59</v>
      </c>
      <c r="AO6" s="14">
        <v>45886</v>
      </c>
      <c r="AP6" s="4" t="s">
        <v>61</v>
      </c>
    </row>
    <row r="7" spans="1:42" ht="21.6">
      <c r="A7" s="1">
        <v>422</v>
      </c>
      <c r="B7" s="1" t="s">
        <v>85</v>
      </c>
      <c r="C7" s="1" t="s">
        <v>86</v>
      </c>
      <c r="D7" s="1" t="s">
        <v>87</v>
      </c>
      <c r="E7" s="1" t="s">
        <v>45</v>
      </c>
      <c r="F7" s="1">
        <v>68972</v>
      </c>
      <c r="G7" s="1" t="s">
        <v>46</v>
      </c>
      <c r="H7" s="1">
        <v>40.097583309999997</v>
      </c>
      <c r="I7" s="1">
        <v>-98.783249299999994</v>
      </c>
      <c r="J7" s="1" t="s">
        <v>88</v>
      </c>
      <c r="K7" s="1" t="s">
        <v>48</v>
      </c>
      <c r="L7" s="1" t="s">
        <v>49</v>
      </c>
      <c r="M7" s="9">
        <v>1258740</v>
      </c>
      <c r="N7" s="1" t="s">
        <v>50</v>
      </c>
      <c r="O7" s="1" t="s">
        <v>89</v>
      </c>
      <c r="P7" s="1" t="s">
        <v>52</v>
      </c>
      <c r="Q7" s="1" t="s">
        <v>53</v>
      </c>
      <c r="R7" s="9">
        <v>141024434</v>
      </c>
      <c r="S7" s="1" t="s">
        <v>54</v>
      </c>
      <c r="T7" s="1" t="s">
        <v>55</v>
      </c>
      <c r="U7" s="9">
        <v>120</v>
      </c>
      <c r="V7" s="9">
        <v>140</v>
      </c>
      <c r="W7" s="9">
        <v>197</v>
      </c>
      <c r="X7" s="9">
        <v>164</v>
      </c>
      <c r="Y7" s="9">
        <v>148</v>
      </c>
      <c r="Z7" s="9">
        <v>199</v>
      </c>
      <c r="AA7" s="9">
        <v>228</v>
      </c>
      <c r="AB7" s="9">
        <v>160</v>
      </c>
      <c r="AC7" s="9">
        <v>24</v>
      </c>
      <c r="AD7" s="9" t="s">
        <v>69</v>
      </c>
      <c r="AE7" s="9" t="s">
        <v>69</v>
      </c>
      <c r="AF7" s="9" t="s">
        <v>56</v>
      </c>
      <c r="AG7" s="2">
        <v>45873</v>
      </c>
      <c r="AH7" s="3">
        <v>0.33333333333333331</v>
      </c>
      <c r="AI7" s="3">
        <v>0.4</v>
      </c>
      <c r="AJ7" s="10" t="s">
        <v>57</v>
      </c>
      <c r="AK7" s="8" t="s">
        <v>58</v>
      </c>
      <c r="AL7" s="5" t="s">
        <v>59</v>
      </c>
      <c r="AM7" s="5" t="s">
        <v>59</v>
      </c>
      <c r="AN7" s="5" t="s">
        <v>59</v>
      </c>
      <c r="AO7" s="15" t="s">
        <v>76</v>
      </c>
      <c r="AP7" s="4" t="s">
        <v>61</v>
      </c>
    </row>
    <row r="8" spans="1:42">
      <c r="A8" s="1">
        <v>423</v>
      </c>
      <c r="B8" s="1" t="s">
        <v>90</v>
      </c>
      <c r="C8" s="1" t="s">
        <v>91</v>
      </c>
      <c r="D8" s="1" t="s">
        <v>92</v>
      </c>
      <c r="E8" s="1" t="s">
        <v>45</v>
      </c>
      <c r="F8" s="1">
        <v>68929</v>
      </c>
      <c r="G8" s="1" t="s">
        <v>46</v>
      </c>
      <c r="H8" s="1">
        <v>40.117460000000001</v>
      </c>
      <c r="I8" s="1">
        <v>-99.038920000000005</v>
      </c>
      <c r="J8" s="1" t="s">
        <v>93</v>
      </c>
      <c r="K8" s="1" t="s">
        <v>48</v>
      </c>
      <c r="L8" s="1" t="s">
        <v>49</v>
      </c>
      <c r="M8" s="9">
        <v>1258739</v>
      </c>
      <c r="N8" s="1" t="s">
        <v>50</v>
      </c>
      <c r="O8" s="1" t="s">
        <v>94</v>
      </c>
      <c r="P8" s="1" t="s">
        <v>52</v>
      </c>
      <c r="Q8" s="1" t="s">
        <v>53</v>
      </c>
      <c r="R8" s="9">
        <v>141024463</v>
      </c>
      <c r="S8" s="1" t="s">
        <v>54</v>
      </c>
      <c r="T8" s="1" t="s">
        <v>55</v>
      </c>
      <c r="U8" s="9">
        <v>112</v>
      </c>
      <c r="V8" s="9">
        <v>140</v>
      </c>
      <c r="W8" s="9">
        <v>197</v>
      </c>
      <c r="X8" s="9">
        <v>160</v>
      </c>
      <c r="Y8" s="9">
        <v>146</v>
      </c>
      <c r="Z8" s="9">
        <v>170</v>
      </c>
      <c r="AA8" s="9">
        <v>218</v>
      </c>
      <c r="AB8" s="9">
        <v>160</v>
      </c>
      <c r="AC8" s="9">
        <v>96</v>
      </c>
      <c r="AD8" s="9" t="s">
        <v>69</v>
      </c>
      <c r="AE8" s="9" t="s">
        <v>69</v>
      </c>
      <c r="AF8" s="9" t="s">
        <v>56</v>
      </c>
      <c r="AG8" s="2">
        <v>45873</v>
      </c>
      <c r="AH8" s="3">
        <v>0.67500000000000004</v>
      </c>
      <c r="AI8" s="3">
        <v>0.7270833333333333</v>
      </c>
      <c r="AJ8" s="10" t="s">
        <v>57</v>
      </c>
      <c r="AK8" s="8" t="s">
        <v>58</v>
      </c>
      <c r="AL8" s="5" t="s">
        <v>59</v>
      </c>
      <c r="AM8" s="5" t="s">
        <v>59</v>
      </c>
      <c r="AN8" s="5" t="s">
        <v>59</v>
      </c>
      <c r="AO8" s="14">
        <v>45907</v>
      </c>
      <c r="AP8" s="4" t="s">
        <v>61</v>
      </c>
    </row>
    <row r="9" spans="1:42" ht="21.6">
      <c r="A9" s="1">
        <v>752</v>
      </c>
      <c r="B9" s="1" t="s">
        <v>95</v>
      </c>
      <c r="C9" s="1" t="s">
        <v>96</v>
      </c>
      <c r="D9" s="1" t="s">
        <v>97</v>
      </c>
      <c r="E9" s="1" t="s">
        <v>45</v>
      </c>
      <c r="F9" s="1">
        <v>88957</v>
      </c>
      <c r="G9" s="1" t="s">
        <v>98</v>
      </c>
      <c r="H9" s="1">
        <v>40.289290000000001</v>
      </c>
      <c r="I9" s="1">
        <v>-98.265299999999996</v>
      </c>
      <c r="J9" s="1" t="s">
        <v>99</v>
      </c>
      <c r="K9" s="1" t="s">
        <v>48</v>
      </c>
      <c r="L9" s="1" t="s">
        <v>49</v>
      </c>
      <c r="M9" s="9">
        <v>1312634</v>
      </c>
      <c r="N9" s="1" t="s">
        <v>50</v>
      </c>
      <c r="O9" s="1" t="s">
        <v>75</v>
      </c>
      <c r="P9" s="1" t="s">
        <v>52</v>
      </c>
      <c r="Q9" s="1" t="s">
        <v>100</v>
      </c>
      <c r="R9" s="9">
        <v>203469</v>
      </c>
      <c r="S9" s="1" t="s">
        <v>54</v>
      </c>
      <c r="T9" s="1" t="s">
        <v>55</v>
      </c>
      <c r="U9" s="9">
        <v>114</v>
      </c>
      <c r="V9" s="9">
        <v>154</v>
      </c>
      <c r="W9" s="9">
        <v>238</v>
      </c>
      <c r="X9" s="9">
        <v>102</v>
      </c>
      <c r="Y9" s="9">
        <v>216</v>
      </c>
      <c r="Z9" s="9">
        <v>92</v>
      </c>
      <c r="AA9" s="9">
        <v>72</v>
      </c>
      <c r="AB9" s="9">
        <v>32</v>
      </c>
      <c r="AC9" s="9">
        <v>91</v>
      </c>
      <c r="AD9" s="9" t="s">
        <v>69</v>
      </c>
      <c r="AE9" s="9" t="s">
        <v>69</v>
      </c>
      <c r="AF9" s="9" t="s">
        <v>56</v>
      </c>
      <c r="AG9" s="2">
        <v>45874</v>
      </c>
      <c r="AH9" s="3">
        <v>6.458333333333334E-2</v>
      </c>
      <c r="AI9" s="3">
        <v>0.59861111111111109</v>
      </c>
      <c r="AJ9" s="10" t="s">
        <v>57</v>
      </c>
      <c r="AK9" s="8" t="s">
        <v>58</v>
      </c>
      <c r="AL9" s="5" t="s">
        <v>59</v>
      </c>
      <c r="AM9" s="5" t="s">
        <v>59</v>
      </c>
      <c r="AN9" s="5" t="s">
        <v>59</v>
      </c>
      <c r="AO9" s="15" t="s">
        <v>76</v>
      </c>
      <c r="AP9" s="4" t="s">
        <v>61</v>
      </c>
    </row>
    <row r="10" spans="1:42">
      <c r="A10" s="1">
        <v>11</v>
      </c>
      <c r="B10" s="1" t="s">
        <v>101</v>
      </c>
      <c r="C10" s="1" t="s">
        <v>102</v>
      </c>
      <c r="D10" s="1" t="s">
        <v>103</v>
      </c>
      <c r="E10" s="1" t="s">
        <v>104</v>
      </c>
      <c r="F10" s="1">
        <v>82240</v>
      </c>
      <c r="H10" s="1">
        <v>42.076477779999998</v>
      </c>
      <c r="I10" s="1">
        <v>-104.1917333</v>
      </c>
      <c r="K10" s="1" t="s">
        <v>105</v>
      </c>
      <c r="R10" s="9"/>
      <c r="AJ10" s="10"/>
      <c r="AK10" s="8"/>
      <c r="AM10" s="5"/>
      <c r="AN10" s="5"/>
      <c r="AO10" s="14"/>
      <c r="AP10" s="4"/>
    </row>
    <row r="11" spans="1:42">
      <c r="A11" s="1">
        <v>85</v>
      </c>
      <c r="B11" s="1" t="s">
        <v>106</v>
      </c>
      <c r="C11" s="1" t="s">
        <v>107</v>
      </c>
      <c r="D11" s="1" t="s">
        <v>108</v>
      </c>
      <c r="E11" s="1" t="s">
        <v>45</v>
      </c>
      <c r="F11" s="1">
        <v>69361</v>
      </c>
      <c r="H11" s="1">
        <v>41.883241669999997</v>
      </c>
      <c r="I11" s="1">
        <v>-103.66679999999999</v>
      </c>
      <c r="K11" s="1" t="s">
        <v>105</v>
      </c>
      <c r="R11" s="9"/>
      <c r="AJ11" s="10"/>
      <c r="AK11" s="8"/>
      <c r="AM11" s="5"/>
      <c r="AN11" s="5"/>
      <c r="AO11" s="14"/>
      <c r="AP11" s="4"/>
    </row>
    <row r="12" spans="1:42">
      <c r="A12" s="1">
        <v>107</v>
      </c>
      <c r="B12" s="1" t="s">
        <v>109</v>
      </c>
      <c r="C12" s="1" t="s">
        <v>110</v>
      </c>
      <c r="D12" s="1" t="s">
        <v>103</v>
      </c>
      <c r="E12" s="1" t="s">
        <v>104</v>
      </c>
      <c r="F12" s="1">
        <v>82240</v>
      </c>
      <c r="H12" s="1">
        <v>42.049253999999998</v>
      </c>
      <c r="I12" s="1">
        <v>-104.151499</v>
      </c>
      <c r="K12" s="1" t="s">
        <v>105</v>
      </c>
      <c r="R12" s="9"/>
      <c r="AJ12" s="10"/>
      <c r="AK12" s="8"/>
      <c r="AM12" s="5"/>
      <c r="AN12" s="5"/>
      <c r="AO12" s="14"/>
      <c r="AP12" s="4"/>
    </row>
    <row r="13" spans="1:42">
      <c r="A13" s="1">
        <v>169</v>
      </c>
      <c r="B13" s="1" t="s">
        <v>111</v>
      </c>
      <c r="C13" s="1" t="s">
        <v>112</v>
      </c>
      <c r="D13" s="1" t="s">
        <v>103</v>
      </c>
      <c r="E13" s="1" t="s">
        <v>104</v>
      </c>
      <c r="F13" s="1">
        <v>82240</v>
      </c>
      <c r="H13" s="1">
        <v>42.104379999999999</v>
      </c>
      <c r="I13" s="1">
        <v>-104.16634999999999</v>
      </c>
      <c r="K13" s="1" t="s">
        <v>105</v>
      </c>
      <c r="R13" s="9"/>
      <c r="AJ13" s="10"/>
      <c r="AK13" s="8"/>
      <c r="AM13" s="5"/>
      <c r="AN13" s="5"/>
      <c r="AO13" s="14"/>
      <c r="AP13" s="4"/>
    </row>
    <row r="14" spans="1:42">
      <c r="A14" s="1">
        <v>177</v>
      </c>
      <c r="B14" s="1" t="s">
        <v>113</v>
      </c>
      <c r="C14" s="1" t="s">
        <v>114</v>
      </c>
      <c r="D14" s="1" t="s">
        <v>115</v>
      </c>
      <c r="E14" s="1" t="s">
        <v>45</v>
      </c>
      <c r="F14" s="1">
        <v>69358</v>
      </c>
      <c r="H14" s="1">
        <v>42.002679999999998</v>
      </c>
      <c r="I14" s="1">
        <v>-104.04116999999999</v>
      </c>
      <c r="K14" s="1" t="s">
        <v>105</v>
      </c>
      <c r="R14" s="9"/>
      <c r="AJ14" s="10"/>
      <c r="AK14" s="8"/>
      <c r="AM14" s="5"/>
      <c r="AN14" s="5"/>
      <c r="AO14" s="14"/>
      <c r="AP14" s="4"/>
    </row>
    <row r="15" spans="1:42">
      <c r="A15" s="1">
        <v>644</v>
      </c>
      <c r="B15" s="1" t="s">
        <v>116</v>
      </c>
      <c r="C15" s="1" t="s">
        <v>117</v>
      </c>
      <c r="D15" s="1" t="s">
        <v>118</v>
      </c>
      <c r="E15" s="1" t="s">
        <v>45</v>
      </c>
      <c r="F15" s="1">
        <v>69341</v>
      </c>
      <c r="H15" s="1">
        <v>41.823877060000001</v>
      </c>
      <c r="I15" s="1">
        <v>-103.66052639999999</v>
      </c>
      <c r="K15" s="1" t="s">
        <v>105</v>
      </c>
      <c r="R15" s="9"/>
      <c r="AJ15" s="10"/>
      <c r="AK15" s="8"/>
      <c r="AM15" s="5"/>
      <c r="AN15" s="5"/>
      <c r="AO15" s="14"/>
      <c r="AP15" s="4"/>
    </row>
    <row r="16" spans="1:42">
      <c r="A16" s="1">
        <v>670</v>
      </c>
      <c r="B16" s="1" t="s">
        <v>119</v>
      </c>
      <c r="C16" s="1" t="s">
        <v>120</v>
      </c>
      <c r="D16" s="1" t="s">
        <v>121</v>
      </c>
      <c r="E16" s="1" t="s">
        <v>45</v>
      </c>
      <c r="F16" s="1">
        <v>69357</v>
      </c>
      <c r="H16" s="1">
        <v>41.967210000000001</v>
      </c>
      <c r="I16" s="1">
        <v>-103.83580000000001</v>
      </c>
      <c r="K16" s="1" t="s">
        <v>105</v>
      </c>
      <c r="R16" s="9"/>
      <c r="AJ16" s="10"/>
      <c r="AK16" s="8"/>
      <c r="AM16" s="5"/>
      <c r="AN16" s="5"/>
      <c r="AO16" s="14"/>
      <c r="AP16" s="4"/>
    </row>
    <row r="17" spans="1:42">
      <c r="A17" s="1">
        <v>677</v>
      </c>
      <c r="B17" s="1" t="s">
        <v>122</v>
      </c>
      <c r="C17" s="1" t="s">
        <v>123</v>
      </c>
      <c r="D17" s="1" t="s">
        <v>108</v>
      </c>
      <c r="E17" s="1" t="s">
        <v>45</v>
      </c>
      <c r="F17" s="1">
        <v>69361</v>
      </c>
      <c r="H17" s="1">
        <v>42.129271000000003</v>
      </c>
      <c r="I17" s="1">
        <v>-103.675653</v>
      </c>
      <c r="K17" s="1" t="s">
        <v>105</v>
      </c>
      <c r="R17" s="9"/>
      <c r="AJ17" s="10"/>
      <c r="AK17" s="8"/>
      <c r="AM17" s="5"/>
      <c r="AN17" s="5"/>
      <c r="AO17" s="14"/>
      <c r="AP17" s="4"/>
    </row>
    <row r="18" spans="1:42">
      <c r="A18" s="1">
        <v>728</v>
      </c>
      <c r="B18" s="1" t="s">
        <v>124</v>
      </c>
      <c r="C18" s="1" t="s">
        <v>125</v>
      </c>
      <c r="D18" s="1" t="s">
        <v>103</v>
      </c>
      <c r="E18" s="1" t="s">
        <v>104</v>
      </c>
      <c r="F18" s="1">
        <v>82240</v>
      </c>
      <c r="H18" s="1">
        <v>41.993139999999997</v>
      </c>
      <c r="I18" s="1">
        <v>-104.20958</v>
      </c>
      <c r="K18" s="1" t="s">
        <v>105</v>
      </c>
      <c r="R18" s="9"/>
      <c r="AJ18" s="10"/>
      <c r="AK18" s="8"/>
      <c r="AM18" s="5"/>
      <c r="AN18" s="5"/>
      <c r="AO18" s="14"/>
      <c r="AP18" s="4"/>
    </row>
    <row r="19" spans="1:42">
      <c r="A19" s="1">
        <v>729</v>
      </c>
      <c r="B19" s="1" t="s">
        <v>126</v>
      </c>
      <c r="C19" s="1" t="s">
        <v>127</v>
      </c>
      <c r="D19" s="1" t="s">
        <v>128</v>
      </c>
      <c r="E19" s="1" t="s">
        <v>104</v>
      </c>
      <c r="F19" s="1">
        <v>82212</v>
      </c>
      <c r="H19" s="1">
        <v>42.215508309999997</v>
      </c>
      <c r="I19" s="1">
        <v>-104.50913319999999</v>
      </c>
      <c r="K19" s="1" t="s">
        <v>105</v>
      </c>
      <c r="R19" s="9"/>
      <c r="AJ19" s="10"/>
      <c r="AK19" s="8"/>
      <c r="AM19" s="5"/>
      <c r="AN19" s="5"/>
      <c r="AO19" s="14"/>
      <c r="AP19" s="4"/>
    </row>
    <row r="20" spans="1:42">
      <c r="A20" s="1">
        <v>731</v>
      </c>
      <c r="B20" s="1" t="s">
        <v>129</v>
      </c>
      <c r="C20" s="1" t="s">
        <v>130</v>
      </c>
      <c r="D20" s="1" t="s">
        <v>131</v>
      </c>
      <c r="E20" s="1" t="s">
        <v>104</v>
      </c>
      <c r="F20" s="1">
        <v>82223</v>
      </c>
      <c r="H20" s="1">
        <v>42.141689999999997</v>
      </c>
      <c r="I20" s="1">
        <v>-104.33042</v>
      </c>
      <c r="K20" s="1" t="s">
        <v>105</v>
      </c>
      <c r="R20" s="9"/>
      <c r="AJ20" s="10"/>
      <c r="AK20" s="8"/>
      <c r="AM20" s="5"/>
      <c r="AN20" s="5"/>
      <c r="AO20" s="14"/>
      <c r="AP20" s="4"/>
    </row>
    <row r="21" spans="1:42">
      <c r="A21" s="1">
        <v>740</v>
      </c>
      <c r="B21" s="1" t="s">
        <v>132</v>
      </c>
      <c r="C21" s="1" t="s">
        <v>133</v>
      </c>
      <c r="D21" s="1" t="s">
        <v>108</v>
      </c>
      <c r="E21" s="1" t="s">
        <v>45</v>
      </c>
      <c r="F21" s="1">
        <v>69361</v>
      </c>
      <c r="H21" s="1">
        <v>41.88711</v>
      </c>
      <c r="I21" s="1">
        <v>-103.66495</v>
      </c>
      <c r="K21" s="1" t="s">
        <v>105</v>
      </c>
      <c r="R21" s="9"/>
      <c r="AJ21" s="10"/>
      <c r="AK21" s="8"/>
      <c r="AM21" s="5"/>
      <c r="AN21" s="5"/>
      <c r="AO21" s="14"/>
      <c r="AP21" s="4"/>
    </row>
    <row r="22" spans="1:42">
      <c r="A22" s="1">
        <v>745</v>
      </c>
      <c r="B22" s="1" t="s">
        <v>134</v>
      </c>
      <c r="C22" s="1" t="s">
        <v>135</v>
      </c>
      <c r="D22" s="1" t="s">
        <v>103</v>
      </c>
      <c r="E22" s="1" t="s">
        <v>104</v>
      </c>
      <c r="F22" s="1">
        <v>82240</v>
      </c>
      <c r="H22" s="1">
        <v>42.064816</v>
      </c>
      <c r="I22" s="1">
        <v>-104.18549899999999</v>
      </c>
      <c r="K22" s="1" t="s">
        <v>105</v>
      </c>
      <c r="R22" s="9"/>
      <c r="AJ22" s="10"/>
      <c r="AK22" s="8"/>
      <c r="AM22" s="5"/>
      <c r="AN22" s="5"/>
      <c r="AO22" s="14"/>
      <c r="AP22" s="4"/>
    </row>
    <row r="23" spans="1:42">
      <c r="A23" s="1">
        <v>774</v>
      </c>
      <c r="B23" s="1" t="s">
        <v>136</v>
      </c>
      <c r="C23" s="1" t="s">
        <v>137</v>
      </c>
      <c r="D23" s="1" t="s">
        <v>115</v>
      </c>
      <c r="E23" s="1" t="s">
        <v>45</v>
      </c>
      <c r="F23" s="1">
        <v>69358</v>
      </c>
      <c r="H23" s="1">
        <v>41.964253530000001</v>
      </c>
      <c r="I23" s="1">
        <v>-103.93454680000001</v>
      </c>
      <c r="K23" s="1" t="s">
        <v>105</v>
      </c>
      <c r="R23" s="9"/>
      <c r="AJ23" s="10"/>
      <c r="AK23" s="8"/>
      <c r="AM23" s="5"/>
      <c r="AN23" s="5"/>
      <c r="AO23" s="14"/>
      <c r="AP23" s="4"/>
    </row>
    <row r="24" spans="1:42">
      <c r="A24" s="1">
        <v>953</v>
      </c>
      <c r="B24" s="1" t="s">
        <v>138</v>
      </c>
      <c r="C24" s="1" t="s">
        <v>139</v>
      </c>
      <c r="D24" s="1" t="s">
        <v>140</v>
      </c>
      <c r="E24" s="1" t="s">
        <v>45</v>
      </c>
      <c r="F24" s="1">
        <v>69352</v>
      </c>
      <c r="H24" s="1" t="s">
        <v>141</v>
      </c>
      <c r="I24" s="1">
        <v>-104.0369456</v>
      </c>
      <c r="K24" s="1" t="s">
        <v>105</v>
      </c>
      <c r="R24" s="9"/>
      <c r="AJ24" s="10"/>
      <c r="AK24" s="8"/>
      <c r="AM24" s="5"/>
      <c r="AN24" s="5"/>
      <c r="AO24" s="14"/>
      <c r="AP24" s="4"/>
    </row>
    <row r="25" spans="1:42">
      <c r="A25" s="1">
        <v>992</v>
      </c>
      <c r="B25" s="1" t="s">
        <v>142</v>
      </c>
      <c r="C25" s="1" t="s">
        <v>143</v>
      </c>
      <c r="D25" s="1" t="s">
        <v>121</v>
      </c>
      <c r="E25" s="1" t="s">
        <v>45</v>
      </c>
      <c r="F25" s="1">
        <v>69357</v>
      </c>
      <c r="H25" s="1">
        <v>41.939236110000003</v>
      </c>
      <c r="I25" s="1">
        <v>-103.8121889</v>
      </c>
      <c r="K25" s="1" t="s">
        <v>105</v>
      </c>
      <c r="R25" s="9"/>
      <c r="AJ25" s="10"/>
      <c r="AK25" s="8"/>
      <c r="AM25" s="5"/>
      <c r="AN25" s="5"/>
      <c r="AO25" s="14"/>
      <c r="AP25" s="4"/>
    </row>
    <row r="26" spans="1:42">
      <c r="A26" s="1">
        <v>1140</v>
      </c>
      <c r="B26" s="1" t="s">
        <v>144</v>
      </c>
      <c r="C26" s="1" t="s">
        <v>133</v>
      </c>
      <c r="D26" s="1" t="s">
        <v>108</v>
      </c>
      <c r="E26" s="1" t="s">
        <v>45</v>
      </c>
      <c r="F26" s="1">
        <v>69361</v>
      </c>
      <c r="H26" s="1" t="s">
        <v>145</v>
      </c>
      <c r="I26" s="1">
        <v>-103.66495</v>
      </c>
      <c r="K26" s="1" t="s">
        <v>105</v>
      </c>
      <c r="R26" s="9"/>
      <c r="AJ26" s="10"/>
      <c r="AK26" s="8"/>
      <c r="AM26" s="5"/>
      <c r="AN26" s="5"/>
      <c r="AO26" s="14"/>
      <c r="AP26" s="4"/>
    </row>
    <row r="27" spans="1:42" ht="13.15" customHeight="1">
      <c r="A27" s="1">
        <v>10</v>
      </c>
      <c r="B27" s="1" t="s">
        <v>146</v>
      </c>
      <c r="C27" s="1" t="s">
        <v>147</v>
      </c>
      <c r="D27" s="1" t="s">
        <v>148</v>
      </c>
      <c r="E27" s="1" t="s">
        <v>45</v>
      </c>
      <c r="F27" s="1">
        <v>68949</v>
      </c>
      <c r="G27" s="1" t="s">
        <v>149</v>
      </c>
      <c r="H27" s="1">
        <v>40.438228440000003</v>
      </c>
      <c r="I27" s="1">
        <v>-99.37155061</v>
      </c>
      <c r="J27" s="1" t="s">
        <v>150</v>
      </c>
      <c r="K27" s="1" t="s">
        <v>151</v>
      </c>
      <c r="L27" s="1" t="s">
        <v>49</v>
      </c>
      <c r="M27" s="9" t="s">
        <v>69</v>
      </c>
      <c r="N27" s="1" t="s">
        <v>50</v>
      </c>
      <c r="O27" s="1" t="s">
        <v>152</v>
      </c>
      <c r="P27" s="1" t="s">
        <v>153</v>
      </c>
      <c r="Q27" s="1" t="s">
        <v>154</v>
      </c>
      <c r="R27" s="9">
        <v>21863967</v>
      </c>
      <c r="S27" s="1" t="s">
        <v>54</v>
      </c>
      <c r="T27" s="1" t="s">
        <v>55</v>
      </c>
      <c r="U27" s="9">
        <v>840</v>
      </c>
      <c r="V27" s="9" t="s">
        <v>155</v>
      </c>
      <c r="W27" s="9" t="s">
        <v>155</v>
      </c>
      <c r="X27" s="9" t="s">
        <v>156</v>
      </c>
      <c r="Y27" s="9" t="s">
        <v>156</v>
      </c>
      <c r="Z27" s="9" t="s">
        <v>69</v>
      </c>
      <c r="AA27" s="9" t="s">
        <v>69</v>
      </c>
      <c r="AB27" s="9" t="s">
        <v>69</v>
      </c>
      <c r="AC27" s="9" t="s">
        <v>69</v>
      </c>
      <c r="AD27" s="9" t="s">
        <v>69</v>
      </c>
      <c r="AE27" s="9" t="s">
        <v>69</v>
      </c>
      <c r="AF27" s="9" t="s">
        <v>56</v>
      </c>
      <c r="AG27" s="2">
        <v>45875</v>
      </c>
      <c r="AH27" s="3">
        <v>0.3125</v>
      </c>
      <c r="AI27" s="3">
        <v>0.37847222222222221</v>
      </c>
      <c r="AJ27" s="10" t="s">
        <v>157</v>
      </c>
      <c r="AK27" s="8" t="s">
        <v>158</v>
      </c>
      <c r="AL27" s="5" t="s">
        <v>59</v>
      </c>
      <c r="AM27" s="5" t="s">
        <v>59</v>
      </c>
      <c r="AN27" s="5" t="s">
        <v>59</v>
      </c>
      <c r="AO27" s="15" t="s">
        <v>76</v>
      </c>
      <c r="AP27" s="4" t="s">
        <v>61</v>
      </c>
    </row>
    <row r="28" spans="1:42" ht="43.15">
      <c r="A28" s="1">
        <v>55</v>
      </c>
      <c r="B28" s="1" t="s">
        <v>159</v>
      </c>
      <c r="C28" s="1" t="s">
        <v>160</v>
      </c>
      <c r="D28" s="1" t="s">
        <v>161</v>
      </c>
      <c r="E28" s="1" t="s">
        <v>45</v>
      </c>
      <c r="F28" s="1">
        <v>68948</v>
      </c>
      <c r="G28" s="1" t="s">
        <v>162</v>
      </c>
      <c r="H28" s="1">
        <v>40.304479999999998</v>
      </c>
      <c r="I28" s="1">
        <v>-100.00532</v>
      </c>
      <c r="J28" s="1" t="s">
        <v>163</v>
      </c>
      <c r="K28" s="1" t="s">
        <v>151</v>
      </c>
      <c r="L28" s="1" t="s">
        <v>164</v>
      </c>
      <c r="M28" s="9" t="s">
        <v>69</v>
      </c>
      <c r="N28" s="1" t="s">
        <v>50</v>
      </c>
      <c r="O28" s="1" t="s">
        <v>165</v>
      </c>
      <c r="P28" s="1" t="s">
        <v>166</v>
      </c>
      <c r="Q28" s="1" t="s">
        <v>167</v>
      </c>
      <c r="R28" s="9">
        <v>30049</v>
      </c>
      <c r="S28" s="1" t="s">
        <v>54</v>
      </c>
      <c r="T28" s="1" t="s">
        <v>55</v>
      </c>
      <c r="U28" s="9">
        <v>12</v>
      </c>
      <c r="V28" s="9">
        <v>12</v>
      </c>
      <c r="W28" s="9">
        <v>12</v>
      </c>
      <c r="X28" s="9">
        <v>12</v>
      </c>
      <c r="Y28" s="9">
        <v>12</v>
      </c>
      <c r="Z28" s="9" t="s">
        <v>69</v>
      </c>
      <c r="AA28" s="9">
        <v>12</v>
      </c>
      <c r="AB28" s="9">
        <v>36</v>
      </c>
      <c r="AC28" s="9">
        <v>212</v>
      </c>
      <c r="AD28" s="9" t="s">
        <v>69</v>
      </c>
      <c r="AE28" s="9">
        <v>35.5</v>
      </c>
      <c r="AF28" s="9" t="s">
        <v>168</v>
      </c>
      <c r="AG28" s="2">
        <v>45876</v>
      </c>
      <c r="AH28" s="3">
        <v>0.4513888888888889</v>
      </c>
      <c r="AI28" s="3">
        <v>0.4826388888888889</v>
      </c>
      <c r="AJ28" s="10" t="s">
        <v>169</v>
      </c>
      <c r="AK28" s="8" t="s">
        <v>170</v>
      </c>
      <c r="AL28" s="5" t="s">
        <v>59</v>
      </c>
      <c r="AM28" s="5" t="s">
        <v>59</v>
      </c>
      <c r="AN28" s="5" t="s">
        <v>59</v>
      </c>
      <c r="AO28" s="14">
        <v>45907</v>
      </c>
      <c r="AP28" s="4" t="s">
        <v>61</v>
      </c>
    </row>
    <row r="29" spans="1:42">
      <c r="A29" s="1">
        <v>166</v>
      </c>
      <c r="B29" s="1" t="s">
        <v>171</v>
      </c>
      <c r="C29" s="1" t="s">
        <v>172</v>
      </c>
      <c r="D29" s="1" t="s">
        <v>173</v>
      </c>
      <c r="E29" s="1" t="s">
        <v>45</v>
      </c>
      <c r="F29" s="1">
        <v>69001</v>
      </c>
      <c r="G29" s="1" t="s">
        <v>174</v>
      </c>
      <c r="H29" s="1">
        <v>40.200890000000001</v>
      </c>
      <c r="I29" s="1">
        <v>-100.62614000000001</v>
      </c>
      <c r="J29" s="1" t="s">
        <v>175</v>
      </c>
      <c r="K29" s="1" t="s">
        <v>151</v>
      </c>
      <c r="L29" s="1" t="s">
        <v>49</v>
      </c>
      <c r="N29" s="1" t="s">
        <v>50</v>
      </c>
      <c r="O29" s="1" t="s">
        <v>176</v>
      </c>
      <c r="P29" s="1" t="s">
        <v>153</v>
      </c>
      <c r="Q29" s="1" t="s">
        <v>177</v>
      </c>
      <c r="R29" s="9"/>
      <c r="AF29" s="9" t="s">
        <v>168</v>
      </c>
      <c r="AJ29" s="10" t="s">
        <v>178</v>
      </c>
      <c r="AK29" s="8" t="s">
        <v>58</v>
      </c>
      <c r="AL29" s="5" t="s">
        <v>59</v>
      </c>
      <c r="AM29" s="5" t="s">
        <v>59</v>
      </c>
      <c r="AN29" s="5" t="s">
        <v>59</v>
      </c>
      <c r="AO29" s="14">
        <v>45886</v>
      </c>
      <c r="AP29" s="4" t="s">
        <v>61</v>
      </c>
    </row>
    <row r="30" spans="1:42" ht="21.6">
      <c r="A30" s="1">
        <v>258</v>
      </c>
      <c r="B30" s="1" t="s">
        <v>179</v>
      </c>
      <c r="C30" s="1" t="s">
        <v>180</v>
      </c>
      <c r="D30" s="1" t="s">
        <v>148</v>
      </c>
      <c r="E30" s="1" t="s">
        <v>45</v>
      </c>
      <c r="F30" s="1">
        <v>68949</v>
      </c>
      <c r="G30" s="1" t="s">
        <v>149</v>
      </c>
      <c r="H30" s="1">
        <v>40.434489999999997</v>
      </c>
      <c r="I30" s="1">
        <v>-99.388900000000007</v>
      </c>
      <c r="J30" s="1" t="s">
        <v>181</v>
      </c>
      <c r="K30" s="1" t="s">
        <v>151</v>
      </c>
      <c r="L30" s="1" t="s">
        <v>49</v>
      </c>
      <c r="M30" s="9">
        <v>1248397</v>
      </c>
      <c r="N30" s="1" t="s">
        <v>50</v>
      </c>
      <c r="O30" s="1" t="s">
        <v>75</v>
      </c>
      <c r="P30" s="1" t="s">
        <v>52</v>
      </c>
      <c r="Q30" s="1" t="s">
        <v>154</v>
      </c>
      <c r="R30" s="9">
        <v>92511855</v>
      </c>
      <c r="S30" s="1" t="s">
        <v>54</v>
      </c>
      <c r="T30" s="1" t="s">
        <v>55</v>
      </c>
      <c r="U30" s="9">
        <v>117</v>
      </c>
      <c r="V30" s="9">
        <v>68</v>
      </c>
      <c r="W30" s="9">
        <v>138</v>
      </c>
      <c r="X30" s="9">
        <v>130</v>
      </c>
      <c r="Y30" s="9">
        <v>178</v>
      </c>
      <c r="Z30" s="9">
        <v>174</v>
      </c>
      <c r="AA30" s="9">
        <v>78</v>
      </c>
      <c r="AB30" s="9">
        <v>130</v>
      </c>
      <c r="AC30" s="9">
        <v>84</v>
      </c>
      <c r="AD30" s="9" t="s">
        <v>69</v>
      </c>
      <c r="AE30" s="9" t="s">
        <v>69</v>
      </c>
      <c r="AF30" s="9" t="s">
        <v>56</v>
      </c>
      <c r="AG30" s="2">
        <v>45875</v>
      </c>
      <c r="AH30" s="3">
        <v>0.75</v>
      </c>
      <c r="AI30" s="3">
        <v>0.81180555555555556</v>
      </c>
      <c r="AJ30" s="10" t="s">
        <v>57</v>
      </c>
      <c r="AK30" s="8" t="s">
        <v>58</v>
      </c>
      <c r="AL30" s="5" t="s">
        <v>59</v>
      </c>
      <c r="AM30" s="5" t="s">
        <v>59</v>
      </c>
      <c r="AN30" s="5" t="s">
        <v>59</v>
      </c>
      <c r="AO30" s="15" t="s">
        <v>182</v>
      </c>
      <c r="AP30" s="4" t="s">
        <v>61</v>
      </c>
    </row>
    <row r="31" spans="1:42">
      <c r="A31" s="1">
        <v>278</v>
      </c>
      <c r="B31" s="1" t="s">
        <v>183</v>
      </c>
      <c r="C31" s="1" t="s">
        <v>184</v>
      </c>
      <c r="D31" s="1" t="s">
        <v>185</v>
      </c>
      <c r="E31" s="1" t="s">
        <v>45</v>
      </c>
      <c r="F31" s="1">
        <v>69022</v>
      </c>
      <c r="G31" s="1" t="s">
        <v>162</v>
      </c>
      <c r="H31" s="1">
        <v>40.280661000000002</v>
      </c>
      <c r="I31" s="1">
        <v>-100.180148</v>
      </c>
      <c r="J31" s="1" t="s">
        <v>186</v>
      </c>
      <c r="K31" s="1" t="s">
        <v>151</v>
      </c>
      <c r="L31" s="1" t="s">
        <v>49</v>
      </c>
      <c r="N31" s="1" t="s">
        <v>50</v>
      </c>
      <c r="O31" s="1" t="s">
        <v>187</v>
      </c>
      <c r="P31" s="1" t="s">
        <v>153</v>
      </c>
      <c r="Q31" s="1" t="s">
        <v>188</v>
      </c>
      <c r="R31" s="9"/>
      <c r="AF31" s="9" t="s">
        <v>168</v>
      </c>
      <c r="AG31" s="2">
        <v>45876</v>
      </c>
      <c r="AH31" s="3">
        <v>0.48958333333333331</v>
      </c>
      <c r="AI31" s="3">
        <v>0.53472222222222221</v>
      </c>
      <c r="AJ31" s="10" t="s">
        <v>189</v>
      </c>
      <c r="AK31" s="8" t="s">
        <v>190</v>
      </c>
      <c r="AL31" s="5" t="s">
        <v>59</v>
      </c>
      <c r="AM31" s="5" t="s">
        <v>59</v>
      </c>
      <c r="AN31" s="5" t="s">
        <v>59</v>
      </c>
      <c r="AO31" s="14">
        <v>45903</v>
      </c>
      <c r="AP31" s="4" t="s">
        <v>61</v>
      </c>
    </row>
    <row r="32" spans="1:42" ht="32.450000000000003">
      <c r="A32" s="1">
        <v>280</v>
      </c>
      <c r="B32" s="1" t="s">
        <v>191</v>
      </c>
      <c r="C32" s="1" t="s">
        <v>192</v>
      </c>
      <c r="D32" s="1" t="s">
        <v>185</v>
      </c>
      <c r="E32" s="1" t="s">
        <v>45</v>
      </c>
      <c r="F32" s="1">
        <v>69022</v>
      </c>
      <c r="G32" s="1" t="s">
        <v>162</v>
      </c>
      <c r="H32" s="1">
        <v>40.284030000000001</v>
      </c>
      <c r="I32" s="1">
        <v>-100.18738999999999</v>
      </c>
      <c r="J32" s="1" t="s">
        <v>193</v>
      </c>
      <c r="K32" s="1" t="s">
        <v>151</v>
      </c>
      <c r="L32" s="1" t="s">
        <v>49</v>
      </c>
      <c r="M32" s="9">
        <v>1251617</v>
      </c>
      <c r="N32" s="1" t="s">
        <v>50</v>
      </c>
      <c r="O32" s="1" t="s">
        <v>75</v>
      </c>
      <c r="P32" s="1" t="s">
        <v>52</v>
      </c>
      <c r="Q32" s="1" t="s">
        <v>188</v>
      </c>
      <c r="R32" s="9">
        <v>29264373</v>
      </c>
      <c r="S32" s="1" t="s">
        <v>54</v>
      </c>
      <c r="T32" s="1" t="s">
        <v>55</v>
      </c>
      <c r="U32" s="9">
        <v>104</v>
      </c>
      <c r="V32" s="9">
        <v>63</v>
      </c>
      <c r="W32" s="9">
        <v>136</v>
      </c>
      <c r="X32" s="9">
        <v>130</v>
      </c>
      <c r="Y32" s="9">
        <v>166</v>
      </c>
      <c r="Z32" s="9">
        <v>156</v>
      </c>
      <c r="AA32" s="9">
        <v>80</v>
      </c>
      <c r="AB32" s="9">
        <v>156</v>
      </c>
      <c r="AC32" s="9">
        <v>7</v>
      </c>
      <c r="AD32" s="9" t="s">
        <v>69</v>
      </c>
      <c r="AE32" s="9" t="s">
        <v>69</v>
      </c>
      <c r="AF32" s="9" t="s">
        <v>168</v>
      </c>
      <c r="AG32" s="2">
        <v>45876</v>
      </c>
      <c r="AH32" s="3">
        <v>0.54166666666666663</v>
      </c>
      <c r="AI32" s="3">
        <v>0.60416666666666663</v>
      </c>
      <c r="AJ32" s="10" t="s">
        <v>194</v>
      </c>
      <c r="AK32" s="8" t="s">
        <v>58</v>
      </c>
      <c r="AL32" s="5" t="s">
        <v>59</v>
      </c>
      <c r="AM32" s="5" t="s">
        <v>59</v>
      </c>
      <c r="AN32" s="5" t="s">
        <v>59</v>
      </c>
      <c r="AO32" s="15" t="s">
        <v>195</v>
      </c>
      <c r="AP32" s="4" t="s">
        <v>61</v>
      </c>
    </row>
    <row r="33" spans="1:42" ht="21.6">
      <c r="A33" s="1">
        <v>282</v>
      </c>
      <c r="B33" s="1" t="s">
        <v>196</v>
      </c>
      <c r="C33" s="1" t="s">
        <v>197</v>
      </c>
      <c r="D33" s="1" t="s">
        <v>198</v>
      </c>
      <c r="E33" s="1" t="s">
        <v>45</v>
      </c>
      <c r="F33" s="1">
        <v>68922</v>
      </c>
      <c r="H33" s="1">
        <v>40.321060000000003</v>
      </c>
      <c r="I33" s="1">
        <v>-99.902469999999994</v>
      </c>
      <c r="J33" s="1" t="s">
        <v>199</v>
      </c>
      <c r="K33" s="1" t="s">
        <v>151</v>
      </c>
      <c r="L33" s="1" t="s">
        <v>49</v>
      </c>
      <c r="M33" s="9">
        <v>1251533</v>
      </c>
      <c r="N33" s="1" t="s">
        <v>50</v>
      </c>
      <c r="O33" s="1" t="s">
        <v>200</v>
      </c>
      <c r="P33" s="1" t="s">
        <v>52</v>
      </c>
      <c r="Q33" s="1" t="s">
        <v>201</v>
      </c>
      <c r="R33" s="9">
        <v>20302</v>
      </c>
      <c r="S33" s="1" t="s">
        <v>54</v>
      </c>
      <c r="T33" s="1" t="s">
        <v>55</v>
      </c>
      <c r="U33" s="9">
        <v>133</v>
      </c>
      <c r="V33" s="9">
        <v>89</v>
      </c>
      <c r="W33" s="9">
        <v>135</v>
      </c>
      <c r="X33" s="9">
        <v>100</v>
      </c>
      <c r="Y33" s="9">
        <v>189</v>
      </c>
      <c r="Z33" s="9">
        <v>140</v>
      </c>
      <c r="AA33" s="9">
        <v>170</v>
      </c>
      <c r="AB33" s="9">
        <v>100</v>
      </c>
      <c r="AC33" s="9">
        <v>96</v>
      </c>
      <c r="AD33" s="9" t="s">
        <v>69</v>
      </c>
      <c r="AE33" s="9">
        <v>24</v>
      </c>
      <c r="AF33" s="9" t="s">
        <v>56</v>
      </c>
      <c r="AG33" s="2">
        <v>45876</v>
      </c>
      <c r="AH33" s="3">
        <v>0.37847222222222221</v>
      </c>
      <c r="AI33" s="3">
        <v>0.4236111111111111</v>
      </c>
      <c r="AJ33" s="10" t="s">
        <v>57</v>
      </c>
      <c r="AK33" s="8" t="s">
        <v>58</v>
      </c>
      <c r="AL33" s="5" t="s">
        <v>59</v>
      </c>
      <c r="AM33" s="5" t="s">
        <v>59</v>
      </c>
      <c r="AN33" s="5" t="s">
        <v>59</v>
      </c>
      <c r="AO33" s="15" t="s">
        <v>76</v>
      </c>
      <c r="AP33" s="4" t="s">
        <v>61</v>
      </c>
    </row>
    <row r="34" spans="1:42">
      <c r="A34" s="1">
        <v>286</v>
      </c>
      <c r="B34" s="1" t="s">
        <v>202</v>
      </c>
      <c r="C34" s="1" t="s">
        <v>203</v>
      </c>
      <c r="D34" s="1" t="s">
        <v>204</v>
      </c>
      <c r="E34" s="1" t="s">
        <v>45</v>
      </c>
      <c r="F34" s="1">
        <v>68967</v>
      </c>
      <c r="G34" s="1" t="s">
        <v>162</v>
      </c>
      <c r="H34" s="1">
        <v>40.307580000000002</v>
      </c>
      <c r="I34" s="1">
        <v>-99.592690000000005</v>
      </c>
      <c r="J34" s="1" t="s">
        <v>205</v>
      </c>
      <c r="K34" s="1" t="s">
        <v>151</v>
      </c>
      <c r="L34" s="1" t="s">
        <v>49</v>
      </c>
      <c r="M34" s="9">
        <v>1252410</v>
      </c>
      <c r="N34" s="1" t="s">
        <v>50</v>
      </c>
      <c r="O34" s="1" t="s">
        <v>206</v>
      </c>
      <c r="P34" s="1" t="s">
        <v>52</v>
      </c>
      <c r="Q34" s="1" t="s">
        <v>207</v>
      </c>
      <c r="R34" s="9">
        <v>25382</v>
      </c>
      <c r="S34" s="1" t="s">
        <v>54</v>
      </c>
      <c r="T34" s="1" t="s">
        <v>55</v>
      </c>
      <c r="U34" s="9">
        <v>131</v>
      </c>
      <c r="V34" s="9">
        <v>239</v>
      </c>
      <c r="W34" s="9">
        <v>282</v>
      </c>
      <c r="X34" s="9">
        <v>100</v>
      </c>
      <c r="Y34" s="9">
        <v>211</v>
      </c>
      <c r="Z34" s="9">
        <v>98</v>
      </c>
      <c r="AA34" s="9">
        <v>28</v>
      </c>
      <c r="AB34" s="9">
        <v>78</v>
      </c>
      <c r="AC34" s="9">
        <v>65</v>
      </c>
      <c r="AD34" s="9" t="s">
        <v>69</v>
      </c>
      <c r="AE34" s="9" t="s">
        <v>69</v>
      </c>
      <c r="AF34" s="9" t="s">
        <v>56</v>
      </c>
      <c r="AG34" s="2">
        <v>45875</v>
      </c>
      <c r="AJ34" s="10" t="s">
        <v>57</v>
      </c>
      <c r="AK34" s="8" t="s">
        <v>58</v>
      </c>
      <c r="AL34" s="5" t="s">
        <v>59</v>
      </c>
      <c r="AM34" s="5" t="s">
        <v>59</v>
      </c>
      <c r="AN34" s="5" t="s">
        <v>59</v>
      </c>
      <c r="AO34" s="15">
        <v>45936</v>
      </c>
      <c r="AP34" s="4" t="s">
        <v>61</v>
      </c>
    </row>
    <row r="35" spans="1:42" ht="32.450000000000003">
      <c r="A35" s="1">
        <v>300</v>
      </c>
      <c r="B35" s="1" t="s">
        <v>208</v>
      </c>
      <c r="C35" s="1" t="s">
        <v>209</v>
      </c>
      <c r="D35" s="1" t="s">
        <v>210</v>
      </c>
      <c r="E35" s="1" t="s">
        <v>45</v>
      </c>
      <c r="F35" s="1">
        <v>69046</v>
      </c>
      <c r="G35" s="1" t="s">
        <v>162</v>
      </c>
      <c r="H35" s="1">
        <v>40.117890000000003</v>
      </c>
      <c r="I35" s="1">
        <v>-100.10522</v>
      </c>
      <c r="J35" s="1" t="s">
        <v>211</v>
      </c>
      <c r="K35" s="1" t="s">
        <v>151</v>
      </c>
      <c r="L35" s="1" t="s">
        <v>49</v>
      </c>
      <c r="M35" s="9">
        <v>1267549</v>
      </c>
      <c r="N35" s="1" t="s">
        <v>50</v>
      </c>
      <c r="O35" s="1" t="s">
        <v>94</v>
      </c>
      <c r="P35" s="1" t="s">
        <v>52</v>
      </c>
      <c r="Q35" s="1" t="s">
        <v>212</v>
      </c>
      <c r="R35" s="9">
        <v>20372</v>
      </c>
      <c r="S35" s="1" t="s">
        <v>213</v>
      </c>
      <c r="T35" s="1" t="s">
        <v>55</v>
      </c>
      <c r="U35" s="9">
        <v>96</v>
      </c>
      <c r="V35" s="9">
        <v>72</v>
      </c>
      <c r="W35" s="9">
        <v>96</v>
      </c>
      <c r="X35" s="9">
        <v>109</v>
      </c>
      <c r="Y35" s="9">
        <v>156</v>
      </c>
      <c r="Z35" s="9">
        <v>98</v>
      </c>
      <c r="AA35" s="9">
        <v>86</v>
      </c>
      <c r="AB35" s="9">
        <v>60</v>
      </c>
      <c r="AC35" s="9">
        <v>98</v>
      </c>
      <c r="AD35" s="9" t="s">
        <v>69</v>
      </c>
      <c r="AE35" s="9">
        <v>48</v>
      </c>
      <c r="AF35" s="9" t="s">
        <v>168</v>
      </c>
      <c r="AG35" s="2">
        <v>45876</v>
      </c>
      <c r="AH35" s="3">
        <v>0.69791666666666663</v>
      </c>
      <c r="AI35" s="3">
        <v>0.75</v>
      </c>
      <c r="AJ35" s="10" t="s">
        <v>214</v>
      </c>
      <c r="AK35" s="8" t="s">
        <v>58</v>
      </c>
      <c r="AL35" s="5" t="s">
        <v>59</v>
      </c>
      <c r="AM35" s="5" t="s">
        <v>59</v>
      </c>
      <c r="AN35" s="5" t="s">
        <v>59</v>
      </c>
      <c r="AO35" s="15" t="s">
        <v>60</v>
      </c>
      <c r="AP35" s="4" t="s">
        <v>61</v>
      </c>
    </row>
    <row r="36" spans="1:42" ht="21.6">
      <c r="A36" s="1">
        <v>301</v>
      </c>
      <c r="B36" s="1" t="s">
        <v>215</v>
      </c>
      <c r="C36" s="1" t="s">
        <v>216</v>
      </c>
      <c r="D36" s="1" t="s">
        <v>217</v>
      </c>
      <c r="E36" s="1" t="s">
        <v>45</v>
      </c>
      <c r="F36" s="1">
        <v>68926</v>
      </c>
      <c r="G36" s="1" t="s">
        <v>162</v>
      </c>
      <c r="H36" s="1">
        <v>40.147539000000002</v>
      </c>
      <c r="I36" s="1">
        <v>-99.828080999999997</v>
      </c>
      <c r="J36" s="1" t="s">
        <v>218</v>
      </c>
      <c r="K36" s="1" t="s">
        <v>151</v>
      </c>
      <c r="L36" s="1" t="s">
        <v>49</v>
      </c>
      <c r="M36" s="9">
        <v>1267550</v>
      </c>
      <c r="N36" s="1" t="s">
        <v>50</v>
      </c>
      <c r="O36" s="1" t="s">
        <v>75</v>
      </c>
      <c r="P36" s="1" t="s">
        <v>52</v>
      </c>
      <c r="Q36" s="1" t="s">
        <v>219</v>
      </c>
      <c r="R36" s="9">
        <v>20294</v>
      </c>
      <c r="S36" s="1" t="s">
        <v>213</v>
      </c>
      <c r="T36" s="1" t="s">
        <v>55</v>
      </c>
      <c r="U36" s="9">
        <v>9</v>
      </c>
      <c r="V36" s="9">
        <v>16</v>
      </c>
      <c r="W36" s="9">
        <v>18</v>
      </c>
      <c r="X36" s="9">
        <v>15</v>
      </c>
      <c r="Y36" s="9">
        <v>13</v>
      </c>
      <c r="Z36" s="9">
        <v>23</v>
      </c>
      <c r="AA36" s="9">
        <v>20</v>
      </c>
      <c r="AB36" s="9">
        <v>16</v>
      </c>
      <c r="AC36" s="9">
        <v>240</v>
      </c>
      <c r="AD36" s="9" t="s">
        <v>69</v>
      </c>
      <c r="AE36" s="9" t="s">
        <v>69</v>
      </c>
      <c r="AF36" s="9" t="s">
        <v>168</v>
      </c>
      <c r="AG36" s="2">
        <v>45875</v>
      </c>
      <c r="AH36" s="3">
        <v>0.45833333333333331</v>
      </c>
      <c r="AI36" s="3">
        <v>0.5625</v>
      </c>
      <c r="AJ36" s="10" t="s">
        <v>220</v>
      </c>
      <c r="AK36" s="8" t="s">
        <v>58</v>
      </c>
      <c r="AL36" s="5" t="s">
        <v>59</v>
      </c>
      <c r="AM36" s="5" t="s">
        <v>59</v>
      </c>
      <c r="AN36" s="5" t="s">
        <v>59</v>
      </c>
      <c r="AO36" s="15" t="s">
        <v>76</v>
      </c>
      <c r="AP36" s="4" t="s">
        <v>61</v>
      </c>
    </row>
    <row r="37" spans="1:42" ht="21.6">
      <c r="A37" s="1">
        <v>306</v>
      </c>
      <c r="B37" s="1" t="s">
        <v>221</v>
      </c>
      <c r="C37" s="1" t="s">
        <v>222</v>
      </c>
      <c r="D37" s="1" t="s">
        <v>223</v>
      </c>
      <c r="E37" s="1" t="s">
        <v>45</v>
      </c>
      <c r="F37" s="1">
        <v>68982</v>
      </c>
      <c r="G37" s="1" t="s">
        <v>224</v>
      </c>
      <c r="H37" s="1">
        <v>40.369410000000002</v>
      </c>
      <c r="I37" s="1">
        <v>-99.170519999999996</v>
      </c>
      <c r="J37" s="1" t="s">
        <v>225</v>
      </c>
      <c r="K37" s="1" t="s">
        <v>151</v>
      </c>
      <c r="L37" s="1" t="s">
        <v>49</v>
      </c>
      <c r="M37" s="9">
        <v>1273995</v>
      </c>
      <c r="N37" s="1" t="s">
        <v>50</v>
      </c>
      <c r="O37" s="1" t="s">
        <v>75</v>
      </c>
      <c r="P37" s="1" t="s">
        <v>52</v>
      </c>
      <c r="Q37" s="1" t="s">
        <v>53</v>
      </c>
      <c r="R37" s="9">
        <v>82829980</v>
      </c>
      <c r="S37" s="1" t="s">
        <v>54</v>
      </c>
      <c r="T37" s="1" t="s">
        <v>55</v>
      </c>
      <c r="U37" s="9">
        <v>142</v>
      </c>
      <c r="V37" s="9">
        <v>200</v>
      </c>
      <c r="W37" s="9">
        <v>232</v>
      </c>
      <c r="X37" s="9">
        <v>120</v>
      </c>
      <c r="Y37" s="9">
        <v>188</v>
      </c>
      <c r="Z37" s="9">
        <v>89</v>
      </c>
      <c r="AA37" s="9">
        <v>42</v>
      </c>
      <c r="AB37" s="9">
        <v>32</v>
      </c>
      <c r="AC37" s="9">
        <v>86</v>
      </c>
      <c r="AD37" s="9" t="s">
        <v>69</v>
      </c>
      <c r="AE37" s="9" t="s">
        <v>69</v>
      </c>
      <c r="AF37" s="9" t="s">
        <v>56</v>
      </c>
      <c r="AG37" s="2">
        <v>45874</v>
      </c>
      <c r="AH37" s="3">
        <v>0.39583333333333331</v>
      </c>
      <c r="AI37" s="3">
        <v>0.44791666666666669</v>
      </c>
      <c r="AJ37" s="10" t="s">
        <v>57</v>
      </c>
      <c r="AK37" s="8" t="s">
        <v>58</v>
      </c>
      <c r="AL37" s="5" t="s">
        <v>59</v>
      </c>
      <c r="AM37" s="5" t="s">
        <v>59</v>
      </c>
      <c r="AN37" s="5" t="s">
        <v>59</v>
      </c>
      <c r="AO37" s="15" t="s">
        <v>76</v>
      </c>
      <c r="AP37" s="4" t="s">
        <v>61</v>
      </c>
    </row>
    <row r="38" spans="1:42" ht="21.6">
      <c r="A38" s="1">
        <v>323</v>
      </c>
      <c r="B38" s="1" t="s">
        <v>226</v>
      </c>
      <c r="C38" s="1" t="s">
        <v>227</v>
      </c>
      <c r="D38" s="1" t="s">
        <v>228</v>
      </c>
      <c r="E38" s="1" t="s">
        <v>45</v>
      </c>
      <c r="F38" s="1">
        <v>68924</v>
      </c>
      <c r="G38" s="1" t="s">
        <v>224</v>
      </c>
      <c r="H38" s="1">
        <v>40.477969999999999</v>
      </c>
      <c r="I38" s="1">
        <v>-99.141099999999994</v>
      </c>
      <c r="J38" s="1" t="s">
        <v>229</v>
      </c>
      <c r="K38" s="1" t="s">
        <v>151</v>
      </c>
      <c r="L38" s="1" t="s">
        <v>49</v>
      </c>
      <c r="M38" s="9">
        <v>1282560</v>
      </c>
      <c r="N38" s="1" t="s">
        <v>50</v>
      </c>
      <c r="O38" s="1" t="s">
        <v>230</v>
      </c>
      <c r="P38" s="1" t="s">
        <v>52</v>
      </c>
      <c r="Q38" s="1" t="s">
        <v>53</v>
      </c>
      <c r="R38" s="9">
        <v>141024010</v>
      </c>
      <c r="S38" s="1" t="s">
        <v>54</v>
      </c>
      <c r="T38" s="1" t="s">
        <v>55</v>
      </c>
      <c r="U38" s="9">
        <v>134</v>
      </c>
      <c r="V38" s="9">
        <v>200</v>
      </c>
      <c r="W38" s="9">
        <v>232</v>
      </c>
      <c r="X38" s="9">
        <v>125</v>
      </c>
      <c r="Y38" s="9">
        <v>210</v>
      </c>
      <c r="Z38" s="9">
        <v>114</v>
      </c>
      <c r="AA38" s="9">
        <v>60</v>
      </c>
      <c r="AB38" s="9">
        <v>50</v>
      </c>
      <c r="AC38" s="9">
        <v>99</v>
      </c>
      <c r="AD38" s="9" t="s">
        <v>69</v>
      </c>
      <c r="AE38" s="9" t="s">
        <v>69</v>
      </c>
      <c r="AF38" s="9" t="s">
        <v>56</v>
      </c>
      <c r="AG38" s="2">
        <v>45875</v>
      </c>
      <c r="AH38" s="3">
        <v>0.33333333333333331</v>
      </c>
      <c r="AI38" s="3">
        <v>0.41319444444444442</v>
      </c>
      <c r="AJ38" s="10" t="s">
        <v>57</v>
      </c>
      <c r="AK38" s="8" t="s">
        <v>58</v>
      </c>
      <c r="AL38" s="5" t="s">
        <v>59</v>
      </c>
      <c r="AM38" s="5" t="s">
        <v>59</v>
      </c>
      <c r="AN38" s="5" t="s">
        <v>59</v>
      </c>
      <c r="AO38" s="15" t="s">
        <v>76</v>
      </c>
      <c r="AP38" s="4" t="s">
        <v>61</v>
      </c>
    </row>
    <row r="39" spans="1:42" ht="21.6">
      <c r="A39" s="1">
        <v>343</v>
      </c>
      <c r="B39" s="12" t="s">
        <v>231</v>
      </c>
      <c r="C39" s="1" t="s">
        <v>232</v>
      </c>
      <c r="D39" s="1" t="s">
        <v>233</v>
      </c>
      <c r="E39" s="1" t="s">
        <v>45</v>
      </c>
      <c r="F39" s="1">
        <v>68958</v>
      </c>
      <c r="G39" s="1" t="s">
        <v>149</v>
      </c>
      <c r="H39" s="1">
        <v>40.473500000000001</v>
      </c>
      <c r="I39" s="1">
        <v>-99.512050000000002</v>
      </c>
      <c r="J39" s="1" t="s">
        <v>234</v>
      </c>
      <c r="K39" s="1" t="s">
        <v>151</v>
      </c>
      <c r="L39" s="1" t="s">
        <v>49</v>
      </c>
      <c r="M39" s="9">
        <v>1282602</v>
      </c>
      <c r="N39" s="1" t="s">
        <v>50</v>
      </c>
      <c r="O39" s="1" t="s">
        <v>235</v>
      </c>
      <c r="P39" s="1" t="s">
        <v>52</v>
      </c>
      <c r="Q39" s="1" t="s">
        <v>53</v>
      </c>
      <c r="R39" s="9">
        <v>141025970</v>
      </c>
      <c r="S39" s="1" t="s">
        <v>54</v>
      </c>
      <c r="T39" s="1" t="s">
        <v>55</v>
      </c>
      <c r="U39" s="9">
        <v>94</v>
      </c>
      <c r="V39" s="9">
        <v>252</v>
      </c>
      <c r="W39" s="9">
        <v>264</v>
      </c>
      <c r="X39" s="9">
        <v>96</v>
      </c>
      <c r="Y39" s="9">
        <v>116</v>
      </c>
      <c r="Z39" s="9">
        <v>78</v>
      </c>
      <c r="AA39" s="9">
        <v>89</v>
      </c>
      <c r="AB39" s="9">
        <v>30</v>
      </c>
      <c r="AC39" s="9">
        <v>156</v>
      </c>
      <c r="AD39" s="9" t="s">
        <v>69</v>
      </c>
      <c r="AE39" s="9" t="s">
        <v>69</v>
      </c>
      <c r="AF39" s="9" t="s">
        <v>236</v>
      </c>
      <c r="AG39" s="2">
        <v>45875</v>
      </c>
      <c r="AH39" s="3">
        <v>0.71736111111111112</v>
      </c>
      <c r="AI39" s="3">
        <v>0.81388888888888888</v>
      </c>
      <c r="AJ39" s="10" t="s">
        <v>57</v>
      </c>
      <c r="AK39" s="8" t="s">
        <v>58</v>
      </c>
      <c r="AL39" s="5" t="s">
        <v>59</v>
      </c>
      <c r="AM39" s="5" t="s">
        <v>59</v>
      </c>
      <c r="AN39" s="5" t="s">
        <v>59</v>
      </c>
      <c r="AO39" s="15" t="s">
        <v>237</v>
      </c>
      <c r="AP39" s="4" t="s">
        <v>61</v>
      </c>
    </row>
    <row r="40" spans="1:42">
      <c r="A40" s="1">
        <v>424</v>
      </c>
      <c r="B40" s="12" t="s">
        <v>238</v>
      </c>
      <c r="C40" s="1" t="s">
        <v>239</v>
      </c>
      <c r="D40" s="1" t="s">
        <v>240</v>
      </c>
      <c r="E40" s="1" t="s">
        <v>45</v>
      </c>
      <c r="F40" s="1">
        <v>68920</v>
      </c>
      <c r="G40" s="1" t="s">
        <v>241</v>
      </c>
      <c r="H40" s="1">
        <v>40.103189999999998</v>
      </c>
      <c r="I40" s="1">
        <v>-99.370469999999997</v>
      </c>
      <c r="J40" s="1" t="s">
        <v>242</v>
      </c>
      <c r="K40" s="1" t="s">
        <v>151</v>
      </c>
      <c r="L40" s="1" t="s">
        <v>49</v>
      </c>
      <c r="M40" s="9">
        <v>1260806</v>
      </c>
      <c r="N40" s="1" t="s">
        <v>50</v>
      </c>
      <c r="O40" s="1" t="s">
        <v>75</v>
      </c>
      <c r="P40" s="1" t="s">
        <v>52</v>
      </c>
      <c r="Q40" s="1" t="s">
        <v>177</v>
      </c>
      <c r="R40" s="9">
        <v>158011688</v>
      </c>
      <c r="S40" s="1" t="s">
        <v>54</v>
      </c>
      <c r="T40" s="1" t="s">
        <v>55</v>
      </c>
      <c r="U40" s="9">
        <v>96</v>
      </c>
      <c r="V40" s="9">
        <v>180</v>
      </c>
      <c r="W40" s="9">
        <v>216</v>
      </c>
      <c r="X40" s="9">
        <v>156</v>
      </c>
      <c r="Y40" s="9">
        <v>132</v>
      </c>
      <c r="Z40" s="9">
        <v>204</v>
      </c>
      <c r="AA40" s="9">
        <v>96</v>
      </c>
      <c r="AB40" s="9">
        <v>156</v>
      </c>
      <c r="AC40" s="9">
        <v>84</v>
      </c>
      <c r="AD40" s="9" t="s">
        <v>69</v>
      </c>
      <c r="AE40" s="9" t="s">
        <v>69</v>
      </c>
      <c r="AF40" s="9" t="s">
        <v>168</v>
      </c>
      <c r="AG40" s="2">
        <v>45875</v>
      </c>
      <c r="AH40" s="3" t="s">
        <v>243</v>
      </c>
      <c r="AI40" s="3" t="s">
        <v>244</v>
      </c>
      <c r="AJ40" s="10" t="s">
        <v>245</v>
      </c>
      <c r="AK40" s="8" t="s">
        <v>58</v>
      </c>
      <c r="AL40" s="5" t="s">
        <v>59</v>
      </c>
      <c r="AM40" s="5" t="s">
        <v>59</v>
      </c>
      <c r="AN40" s="5" t="s">
        <v>59</v>
      </c>
      <c r="AO40" s="14">
        <v>45907</v>
      </c>
      <c r="AP40" s="4" t="s">
        <v>61</v>
      </c>
    </row>
    <row r="41" spans="1:42">
      <c r="A41" s="1">
        <v>425</v>
      </c>
      <c r="B41" s="12" t="s">
        <v>246</v>
      </c>
      <c r="C41" s="1" t="s">
        <v>247</v>
      </c>
      <c r="D41" s="1" t="s">
        <v>248</v>
      </c>
      <c r="E41" s="1" t="s">
        <v>45</v>
      </c>
      <c r="F41" s="1">
        <v>69028</v>
      </c>
      <c r="G41" s="1" t="s">
        <v>249</v>
      </c>
      <c r="H41" s="1">
        <v>40.644329999999997</v>
      </c>
      <c r="I41" s="1">
        <v>-100.06958</v>
      </c>
      <c r="J41" s="1" t="s">
        <v>250</v>
      </c>
      <c r="K41" s="1" t="s">
        <v>151</v>
      </c>
      <c r="L41" s="1" t="s">
        <v>49</v>
      </c>
      <c r="M41" s="9">
        <v>1276142</v>
      </c>
      <c r="N41" s="1" t="s">
        <v>50</v>
      </c>
      <c r="O41" s="1" t="s">
        <v>251</v>
      </c>
      <c r="P41" s="1" t="s">
        <v>52</v>
      </c>
      <c r="Q41" s="1" t="s">
        <v>252</v>
      </c>
      <c r="R41" s="9">
        <v>131906842</v>
      </c>
      <c r="S41" s="1" t="s">
        <v>54</v>
      </c>
      <c r="T41" s="1" t="s">
        <v>55</v>
      </c>
      <c r="U41" s="9">
        <v>106</v>
      </c>
      <c r="V41" s="9">
        <v>170</v>
      </c>
      <c r="W41" s="9">
        <v>225</v>
      </c>
      <c r="X41" s="9">
        <v>140</v>
      </c>
      <c r="Y41" s="9">
        <v>136</v>
      </c>
      <c r="Z41" s="9">
        <v>164</v>
      </c>
      <c r="AA41" s="9">
        <v>48</v>
      </c>
      <c r="AB41" s="9">
        <v>170</v>
      </c>
      <c r="AC41" s="9">
        <v>84</v>
      </c>
      <c r="AD41" s="9" t="s">
        <v>69</v>
      </c>
      <c r="AE41" s="9" t="s">
        <v>69</v>
      </c>
      <c r="AF41" s="9" t="s">
        <v>236</v>
      </c>
      <c r="AG41" s="2">
        <v>45876</v>
      </c>
      <c r="AH41" s="3">
        <v>0.75069444444444444</v>
      </c>
      <c r="AI41" s="3">
        <v>0.77361111111111114</v>
      </c>
      <c r="AJ41" s="10" t="s">
        <v>57</v>
      </c>
      <c r="AK41" s="8" t="s">
        <v>253</v>
      </c>
      <c r="AL41" s="5" t="s">
        <v>59</v>
      </c>
      <c r="AM41" s="5" t="s">
        <v>59</v>
      </c>
      <c r="AN41" s="5" t="s">
        <v>59</v>
      </c>
      <c r="AO41" s="14">
        <v>45916</v>
      </c>
      <c r="AP41" s="4" t="s">
        <v>61</v>
      </c>
    </row>
    <row r="42" spans="1:42">
      <c r="A42" s="1">
        <v>426</v>
      </c>
      <c r="B42" s="1" t="s">
        <v>254</v>
      </c>
      <c r="C42" s="1" t="s">
        <v>255</v>
      </c>
      <c r="D42" s="1" t="s">
        <v>256</v>
      </c>
      <c r="E42" s="1" t="s">
        <v>45</v>
      </c>
      <c r="F42" s="1">
        <v>68937</v>
      </c>
      <c r="G42" s="1" t="s">
        <v>257</v>
      </c>
      <c r="H42" s="1">
        <v>40.595019999999998</v>
      </c>
      <c r="I42" s="1">
        <v>-99.866550000000004</v>
      </c>
      <c r="J42" s="1" t="s">
        <v>258</v>
      </c>
      <c r="K42" s="1" t="s">
        <v>151</v>
      </c>
      <c r="L42" s="1" t="s">
        <v>49</v>
      </c>
      <c r="M42" s="9">
        <v>1270149</v>
      </c>
      <c r="N42" s="1" t="s">
        <v>50</v>
      </c>
      <c r="O42" s="1" t="s">
        <v>75</v>
      </c>
      <c r="P42" s="1" t="s">
        <v>52</v>
      </c>
      <c r="Q42" s="1" t="s">
        <v>212</v>
      </c>
      <c r="R42" s="9">
        <v>182002434</v>
      </c>
      <c r="S42" s="1" t="s">
        <v>54</v>
      </c>
      <c r="T42" s="1" t="s">
        <v>55</v>
      </c>
      <c r="U42" s="9">
        <v>103</v>
      </c>
      <c r="V42" s="9">
        <v>245</v>
      </c>
      <c r="W42" s="9">
        <v>204</v>
      </c>
      <c r="X42" s="9">
        <v>170</v>
      </c>
      <c r="Y42" s="9">
        <v>105</v>
      </c>
      <c r="Z42" s="9" t="s">
        <v>69</v>
      </c>
      <c r="AA42" s="9" t="s">
        <v>69</v>
      </c>
      <c r="AB42" s="9">
        <v>170</v>
      </c>
      <c r="AC42" s="9">
        <v>84</v>
      </c>
      <c r="AD42" s="9" t="s">
        <v>69</v>
      </c>
      <c r="AE42" s="9" t="s">
        <v>69</v>
      </c>
      <c r="AF42" s="9" t="s">
        <v>236</v>
      </c>
      <c r="AG42" s="2">
        <v>45876</v>
      </c>
      <c r="AH42" s="3">
        <v>0.56319444444444444</v>
      </c>
      <c r="AI42" s="3">
        <v>0.63472222222222219</v>
      </c>
      <c r="AJ42" s="10" t="s">
        <v>57</v>
      </c>
      <c r="AK42" s="8" t="s">
        <v>253</v>
      </c>
      <c r="AL42" s="5" t="s">
        <v>59</v>
      </c>
      <c r="AM42" s="5" t="s">
        <v>59</v>
      </c>
      <c r="AN42" s="5" t="s">
        <v>59</v>
      </c>
      <c r="AO42" s="14">
        <v>45916</v>
      </c>
      <c r="AP42" s="4" t="s">
        <v>61</v>
      </c>
    </row>
    <row r="43" spans="1:42" ht="21.6">
      <c r="A43" s="1">
        <v>427</v>
      </c>
      <c r="B43" s="1" t="s">
        <v>259</v>
      </c>
      <c r="C43" s="1" t="s">
        <v>260</v>
      </c>
      <c r="D43" s="1" t="s">
        <v>261</v>
      </c>
      <c r="E43" s="1" t="s">
        <v>45</v>
      </c>
      <c r="F43" s="1">
        <v>68927</v>
      </c>
      <c r="G43" s="1" t="s">
        <v>149</v>
      </c>
      <c r="H43" s="1">
        <v>40.524500000000003</v>
      </c>
      <c r="I43" s="1">
        <v>-99.642889999999994</v>
      </c>
      <c r="J43" s="1" t="s">
        <v>262</v>
      </c>
      <c r="K43" s="1" t="s">
        <v>151</v>
      </c>
      <c r="L43" s="1" t="s">
        <v>49</v>
      </c>
      <c r="M43" s="9">
        <v>1312637</v>
      </c>
      <c r="N43" s="1" t="s">
        <v>50</v>
      </c>
      <c r="O43" s="1" t="s">
        <v>75</v>
      </c>
      <c r="P43" s="1" t="s">
        <v>52</v>
      </c>
      <c r="Q43" s="1" t="s">
        <v>53</v>
      </c>
      <c r="R43" s="9">
        <v>135449335</v>
      </c>
      <c r="S43" s="1" t="s">
        <v>54</v>
      </c>
      <c r="T43" s="1" t="s">
        <v>55</v>
      </c>
      <c r="U43" s="9">
        <v>100</v>
      </c>
      <c r="V43" s="9">
        <v>220</v>
      </c>
      <c r="W43" s="9">
        <v>275</v>
      </c>
      <c r="X43" s="9">
        <v>150</v>
      </c>
      <c r="Y43" s="9">
        <v>134</v>
      </c>
      <c r="Z43" s="9">
        <v>40</v>
      </c>
      <c r="AA43" s="9">
        <v>48</v>
      </c>
      <c r="AB43" s="9">
        <v>0</v>
      </c>
      <c r="AC43" s="9">
        <v>156</v>
      </c>
      <c r="AD43" s="9" t="s">
        <v>69</v>
      </c>
      <c r="AE43" s="9" t="s">
        <v>69</v>
      </c>
      <c r="AF43" s="9" t="s">
        <v>236</v>
      </c>
      <c r="AG43" s="2">
        <v>45876</v>
      </c>
      <c r="AH43" s="3">
        <v>0.63680555555555551</v>
      </c>
      <c r="AI43" s="3">
        <v>0.68333333333333335</v>
      </c>
      <c r="AJ43" s="10" t="s">
        <v>57</v>
      </c>
      <c r="AK43" s="8" t="s">
        <v>58</v>
      </c>
      <c r="AL43" s="5" t="s">
        <v>59</v>
      </c>
      <c r="AM43" s="5" t="s">
        <v>59</v>
      </c>
      <c r="AN43" s="5" t="s">
        <v>59</v>
      </c>
      <c r="AO43" s="15" t="s">
        <v>263</v>
      </c>
      <c r="AP43" s="4" t="s">
        <v>61</v>
      </c>
    </row>
    <row r="44" spans="1:42">
      <c r="A44" s="1">
        <v>791</v>
      </c>
      <c r="B44" s="1" t="s">
        <v>264</v>
      </c>
      <c r="C44" s="1" t="s">
        <v>265</v>
      </c>
      <c r="D44" s="1" t="s">
        <v>266</v>
      </c>
      <c r="E44" s="1" t="s">
        <v>45</v>
      </c>
      <c r="F44" s="1">
        <v>68977</v>
      </c>
      <c r="G44" s="1" t="s">
        <v>241</v>
      </c>
      <c r="H44" s="1">
        <v>40.133470000000003</v>
      </c>
      <c r="I44" s="1">
        <v>-99.600549999999998</v>
      </c>
      <c r="J44" s="1" t="s">
        <v>267</v>
      </c>
      <c r="K44" s="1" t="s">
        <v>151</v>
      </c>
      <c r="L44" s="1" t="s">
        <v>49</v>
      </c>
      <c r="M44" s="9" t="s">
        <v>268</v>
      </c>
      <c r="N44" s="1" t="s">
        <v>50</v>
      </c>
      <c r="O44" s="1" t="s">
        <v>51</v>
      </c>
      <c r="P44" s="1" t="s">
        <v>52</v>
      </c>
      <c r="Q44" s="1" t="s">
        <v>177</v>
      </c>
      <c r="R44" s="9">
        <v>20039</v>
      </c>
      <c r="S44" s="1" t="s">
        <v>54</v>
      </c>
      <c r="T44" s="1" t="s">
        <v>55</v>
      </c>
      <c r="U44" s="9">
        <v>120</v>
      </c>
      <c r="V44" s="9">
        <v>216</v>
      </c>
      <c r="W44" s="9">
        <v>252</v>
      </c>
      <c r="X44" s="9">
        <v>120</v>
      </c>
      <c r="Y44" s="9">
        <v>252</v>
      </c>
      <c r="Z44" s="9">
        <v>84</v>
      </c>
      <c r="AA44" s="9">
        <v>96</v>
      </c>
      <c r="AB44" s="9">
        <v>84</v>
      </c>
      <c r="AC44" s="9">
        <v>72</v>
      </c>
      <c r="AD44" s="9" t="s">
        <v>69</v>
      </c>
      <c r="AE44" s="9">
        <v>264</v>
      </c>
      <c r="AF44" s="9" t="s">
        <v>168</v>
      </c>
      <c r="AG44" s="2">
        <v>45875</v>
      </c>
      <c r="AH44" s="3">
        <v>0.5625</v>
      </c>
      <c r="AI44" s="3">
        <v>0.64583333333333337</v>
      </c>
      <c r="AJ44" s="10" t="s">
        <v>57</v>
      </c>
      <c r="AK44" s="8" t="s">
        <v>58</v>
      </c>
      <c r="AL44" s="5" t="s">
        <v>59</v>
      </c>
      <c r="AM44" s="5" t="s">
        <v>59</v>
      </c>
      <c r="AN44" s="5" t="s">
        <v>59</v>
      </c>
      <c r="AO44" s="14">
        <v>45907</v>
      </c>
      <c r="AP44" s="4" t="s">
        <v>61</v>
      </c>
    </row>
    <row r="45" spans="1:42">
      <c r="A45" s="1">
        <v>792</v>
      </c>
      <c r="B45" s="1" t="s">
        <v>269</v>
      </c>
      <c r="C45" s="1" t="s">
        <v>270</v>
      </c>
      <c r="D45" s="1" t="s">
        <v>271</v>
      </c>
      <c r="E45" s="1" t="s">
        <v>45</v>
      </c>
      <c r="F45" s="1">
        <v>68966</v>
      </c>
      <c r="G45" s="1" t="s">
        <v>241</v>
      </c>
      <c r="H45" s="1">
        <v>40.136969999999998</v>
      </c>
      <c r="I45" s="1">
        <v>-99.454759999999993</v>
      </c>
      <c r="J45" s="1" t="s">
        <v>272</v>
      </c>
      <c r="K45" s="1" t="s">
        <v>151</v>
      </c>
      <c r="L45" s="1" t="s">
        <v>49</v>
      </c>
      <c r="N45" s="1" t="s">
        <v>50</v>
      </c>
      <c r="O45" s="1" t="s">
        <v>51</v>
      </c>
      <c r="P45" s="1" t="s">
        <v>52</v>
      </c>
      <c r="Q45" s="1" t="s">
        <v>177</v>
      </c>
      <c r="R45" s="9">
        <v>68628243</v>
      </c>
      <c r="S45" s="1" t="s">
        <v>54</v>
      </c>
      <c r="T45" s="1" t="s">
        <v>55</v>
      </c>
      <c r="U45" s="9">
        <v>120</v>
      </c>
      <c r="V45" s="9">
        <v>204</v>
      </c>
      <c r="W45" s="9">
        <v>240</v>
      </c>
      <c r="X45" s="9">
        <v>96</v>
      </c>
      <c r="Y45" s="9">
        <v>300</v>
      </c>
      <c r="Z45" s="9">
        <v>84</v>
      </c>
      <c r="AA45" s="9">
        <v>132</v>
      </c>
      <c r="AB45" s="9">
        <v>36</v>
      </c>
      <c r="AC45" s="9">
        <v>84</v>
      </c>
      <c r="AD45" s="9" t="s">
        <v>69</v>
      </c>
      <c r="AE45" s="9" t="s">
        <v>69</v>
      </c>
      <c r="AF45" s="9" t="s">
        <v>168</v>
      </c>
      <c r="AG45" s="2">
        <v>45875</v>
      </c>
      <c r="AH45" s="3">
        <v>0.63888888888888884</v>
      </c>
      <c r="AI45" s="3">
        <v>0.72916666666666663</v>
      </c>
      <c r="AJ45" s="10" t="s">
        <v>273</v>
      </c>
      <c r="AK45" s="8" t="s">
        <v>58</v>
      </c>
      <c r="AL45" s="5" t="s">
        <v>59</v>
      </c>
      <c r="AM45" s="5" t="s">
        <v>59</v>
      </c>
      <c r="AN45" s="5" t="s">
        <v>59</v>
      </c>
      <c r="AO45" s="14">
        <v>45907</v>
      </c>
      <c r="AP45" s="4" t="s">
        <v>61</v>
      </c>
    </row>
    <row r="46" spans="1:42">
      <c r="A46" s="1">
        <v>797</v>
      </c>
      <c r="B46" s="1" t="s">
        <v>274</v>
      </c>
      <c r="C46" s="1" t="s">
        <v>275</v>
      </c>
      <c r="D46" s="1" t="s">
        <v>204</v>
      </c>
      <c r="E46" s="1" t="s">
        <v>45</v>
      </c>
      <c r="F46" s="1">
        <v>68967</v>
      </c>
      <c r="G46" s="1" t="s">
        <v>162</v>
      </c>
      <c r="H46" s="1">
        <v>40.249690000000001</v>
      </c>
      <c r="I46" s="1">
        <v>-99.638599999999997</v>
      </c>
      <c r="J46" s="1" t="s">
        <v>276</v>
      </c>
      <c r="K46" s="1" t="s">
        <v>151</v>
      </c>
      <c r="L46" s="1" t="s">
        <v>49</v>
      </c>
      <c r="M46" s="9">
        <v>1302988</v>
      </c>
      <c r="N46" s="1" t="s">
        <v>50</v>
      </c>
      <c r="O46" s="1" t="s">
        <v>51</v>
      </c>
      <c r="P46" s="1" t="s">
        <v>52</v>
      </c>
      <c r="Q46" s="1" t="s">
        <v>277</v>
      </c>
      <c r="R46" s="9">
        <v>5422</v>
      </c>
      <c r="S46" s="1" t="s">
        <v>54</v>
      </c>
      <c r="T46" s="1" t="s">
        <v>55</v>
      </c>
      <c r="U46" s="9">
        <v>114</v>
      </c>
      <c r="V46" s="9">
        <v>216</v>
      </c>
      <c r="W46" s="9">
        <v>252</v>
      </c>
      <c r="X46" s="9">
        <v>96</v>
      </c>
      <c r="Y46" s="9">
        <v>300</v>
      </c>
      <c r="Z46" s="9">
        <v>60</v>
      </c>
      <c r="AA46" s="9">
        <v>96</v>
      </c>
      <c r="AB46" s="9">
        <v>36</v>
      </c>
      <c r="AC46" s="9">
        <v>84</v>
      </c>
      <c r="AD46" s="9" t="s">
        <v>69</v>
      </c>
      <c r="AE46" s="9">
        <v>216</v>
      </c>
      <c r="AF46" s="9" t="s">
        <v>168</v>
      </c>
      <c r="AG46" s="2">
        <v>45875</v>
      </c>
      <c r="AH46" s="3">
        <v>0.77083333333333337</v>
      </c>
      <c r="AI46" s="3">
        <v>0.83333333333333337</v>
      </c>
      <c r="AJ46" s="10" t="s">
        <v>57</v>
      </c>
      <c r="AK46" s="8" t="s">
        <v>58</v>
      </c>
      <c r="AL46" s="5" t="s">
        <v>59</v>
      </c>
      <c r="AM46" s="5" t="s">
        <v>59</v>
      </c>
      <c r="AN46" s="5" t="s">
        <v>59</v>
      </c>
      <c r="AO46" s="14">
        <v>45907</v>
      </c>
      <c r="AP46" s="4" t="s">
        <v>61</v>
      </c>
    </row>
    <row r="47" spans="1:42" ht="32.450000000000003">
      <c r="A47" s="1">
        <v>949</v>
      </c>
      <c r="B47" s="1" t="s">
        <v>278</v>
      </c>
      <c r="C47" s="1" t="s">
        <v>279</v>
      </c>
      <c r="D47" s="1" t="s">
        <v>280</v>
      </c>
      <c r="E47" s="1" t="s">
        <v>45</v>
      </c>
      <c r="F47" s="1">
        <v>68936</v>
      </c>
      <c r="G47" s="1" t="s">
        <v>162</v>
      </c>
      <c r="H47" s="1">
        <v>40.275561449999998</v>
      </c>
      <c r="I47" s="1">
        <v>-99.780609400000003</v>
      </c>
      <c r="J47" s="1" t="s">
        <v>281</v>
      </c>
      <c r="K47" s="1" t="s">
        <v>151</v>
      </c>
      <c r="L47" s="1" t="s">
        <v>49</v>
      </c>
      <c r="N47" s="1" t="s">
        <v>50</v>
      </c>
      <c r="O47" s="1" t="s">
        <v>75</v>
      </c>
      <c r="P47" s="1" t="s">
        <v>52</v>
      </c>
      <c r="Q47" s="1" t="s">
        <v>188</v>
      </c>
      <c r="R47" s="9">
        <v>30487</v>
      </c>
      <c r="S47" s="1" t="s">
        <v>54</v>
      </c>
      <c r="T47" s="1" t="s">
        <v>55</v>
      </c>
      <c r="U47" s="9">
        <v>90</v>
      </c>
      <c r="V47" s="9">
        <v>80</v>
      </c>
      <c r="W47" s="9">
        <v>174</v>
      </c>
      <c r="X47" s="9">
        <v>94</v>
      </c>
      <c r="Y47" s="9">
        <v>194</v>
      </c>
      <c r="Z47" s="9">
        <v>108</v>
      </c>
      <c r="AA47" s="9">
        <v>72</v>
      </c>
      <c r="AB47" s="9">
        <v>200</v>
      </c>
      <c r="AC47" s="9">
        <v>84</v>
      </c>
      <c r="AD47" s="9" t="s">
        <v>69</v>
      </c>
      <c r="AE47" s="9" t="s">
        <v>69</v>
      </c>
      <c r="AF47" s="9" t="s">
        <v>168</v>
      </c>
      <c r="AG47" s="2">
        <v>45876</v>
      </c>
      <c r="AH47" s="3">
        <v>0.3888888888888889</v>
      </c>
      <c r="AI47" s="3">
        <v>0.4513888888888889</v>
      </c>
      <c r="AJ47" s="10" t="s">
        <v>282</v>
      </c>
      <c r="AK47" s="8" t="s">
        <v>58</v>
      </c>
      <c r="AL47" s="5" t="s">
        <v>59</v>
      </c>
      <c r="AM47" s="5" t="s">
        <v>59</v>
      </c>
      <c r="AN47" s="5" t="s">
        <v>59</v>
      </c>
      <c r="AO47" s="15" t="s">
        <v>283</v>
      </c>
      <c r="AP47" s="4" t="s">
        <v>61</v>
      </c>
    </row>
    <row r="48" spans="1:42" ht="21.6">
      <c r="A48" s="1">
        <v>986</v>
      </c>
      <c r="B48" s="1" t="s">
        <v>284</v>
      </c>
      <c r="C48" s="1" t="s">
        <v>285</v>
      </c>
      <c r="D48" s="1" t="s">
        <v>148</v>
      </c>
      <c r="E48" s="1" t="s">
        <v>45</v>
      </c>
      <c r="F48" s="1">
        <v>68949</v>
      </c>
      <c r="G48" s="1" t="s">
        <v>149</v>
      </c>
      <c r="H48" s="1">
        <v>40.440330000000003</v>
      </c>
      <c r="I48" s="1">
        <v>-99.356070000000003</v>
      </c>
      <c r="J48" s="1" t="s">
        <v>286</v>
      </c>
      <c r="K48" s="1" t="s">
        <v>151</v>
      </c>
      <c r="L48" s="1" t="s">
        <v>49</v>
      </c>
      <c r="M48" s="9">
        <v>1288964</v>
      </c>
      <c r="N48" s="1" t="s">
        <v>50</v>
      </c>
      <c r="O48" s="1" t="s">
        <v>287</v>
      </c>
      <c r="P48" s="1" t="s">
        <v>52</v>
      </c>
      <c r="Q48" s="1" t="s">
        <v>154</v>
      </c>
      <c r="R48" s="9">
        <v>92511864</v>
      </c>
      <c r="S48" s="1" t="s">
        <v>54</v>
      </c>
      <c r="T48" s="1" t="s">
        <v>55</v>
      </c>
      <c r="U48" s="9">
        <v>138</v>
      </c>
      <c r="V48" s="9">
        <v>90</v>
      </c>
      <c r="W48" s="9">
        <v>104</v>
      </c>
      <c r="X48" s="9">
        <v>93</v>
      </c>
      <c r="Y48" s="9">
        <v>183</v>
      </c>
      <c r="Z48" s="9">
        <v>170</v>
      </c>
      <c r="AA48" s="9">
        <v>36</v>
      </c>
      <c r="AB48" s="9">
        <v>155</v>
      </c>
      <c r="AC48" s="9">
        <v>84</v>
      </c>
      <c r="AD48" s="9" t="s">
        <v>69</v>
      </c>
      <c r="AE48" s="9" t="s">
        <v>69</v>
      </c>
      <c r="AF48" s="9" t="s">
        <v>56</v>
      </c>
      <c r="AG48" s="2">
        <v>45875</v>
      </c>
      <c r="AH48" s="3">
        <v>0.58333333333333337</v>
      </c>
      <c r="AI48" s="3">
        <v>0.63541666666666663</v>
      </c>
      <c r="AJ48" s="10" t="s">
        <v>57</v>
      </c>
      <c r="AK48" s="8" t="s">
        <v>58</v>
      </c>
      <c r="AL48" s="5" t="s">
        <v>59</v>
      </c>
      <c r="AM48" s="5" t="s">
        <v>59</v>
      </c>
      <c r="AN48" s="5" t="s">
        <v>59</v>
      </c>
      <c r="AO48" s="15" t="s">
        <v>76</v>
      </c>
      <c r="AP48" s="4" t="s">
        <v>61</v>
      </c>
    </row>
    <row r="49" spans="1:42">
      <c r="A49" s="1">
        <v>1030</v>
      </c>
      <c r="B49" s="1" t="s">
        <v>288</v>
      </c>
      <c r="C49" s="1" t="s">
        <v>289</v>
      </c>
      <c r="D49" s="1" t="s">
        <v>290</v>
      </c>
      <c r="E49" s="1" t="s">
        <v>45</v>
      </c>
      <c r="F49" s="1">
        <v>68969</v>
      </c>
      <c r="H49" s="1">
        <v>40.308399999999999</v>
      </c>
      <c r="I49" s="1">
        <v>-99.290499999999994</v>
      </c>
      <c r="J49" s="1" t="s">
        <v>291</v>
      </c>
      <c r="K49" s="1" t="s">
        <v>151</v>
      </c>
      <c r="N49" s="1" t="s">
        <v>50</v>
      </c>
      <c r="R49" s="9"/>
      <c r="AJ49" s="10"/>
      <c r="AK49" s="8"/>
      <c r="AM49" s="5"/>
      <c r="AN49" s="5"/>
      <c r="AO49" s="14"/>
      <c r="AP49" s="4" t="s">
        <v>292</v>
      </c>
    </row>
    <row r="50" spans="1:42">
      <c r="A50" s="1">
        <v>35</v>
      </c>
      <c r="B50" s="1" t="s">
        <v>293</v>
      </c>
      <c r="C50" s="1" t="s">
        <v>294</v>
      </c>
      <c r="D50" s="1" t="s">
        <v>295</v>
      </c>
      <c r="E50" s="1" t="s">
        <v>45</v>
      </c>
      <c r="F50" s="1">
        <v>68874</v>
      </c>
      <c r="G50" s="1" t="s">
        <v>296</v>
      </c>
      <c r="H50" s="1">
        <v>41.637079999999997</v>
      </c>
      <c r="I50" s="1">
        <v>-99.371930000000006</v>
      </c>
      <c r="J50" s="1" t="s">
        <v>297</v>
      </c>
      <c r="K50" s="1" t="s">
        <v>298</v>
      </c>
      <c r="L50" s="1" t="s">
        <v>49</v>
      </c>
      <c r="M50" s="9">
        <v>1300843</v>
      </c>
      <c r="N50" s="1" t="s">
        <v>50</v>
      </c>
      <c r="O50" s="1" t="s">
        <v>230</v>
      </c>
      <c r="P50" s="1" t="s">
        <v>52</v>
      </c>
      <c r="Q50" s="1" t="s">
        <v>299</v>
      </c>
      <c r="R50" s="9">
        <v>123817293</v>
      </c>
      <c r="S50" s="1" t="s">
        <v>54</v>
      </c>
      <c r="T50" s="1" t="s">
        <v>55</v>
      </c>
      <c r="U50" s="9">
        <v>115</v>
      </c>
      <c r="V50" s="9">
        <v>232</v>
      </c>
      <c r="W50" s="9">
        <v>285</v>
      </c>
      <c r="X50" s="9">
        <v>100</v>
      </c>
      <c r="Y50" s="9">
        <v>192</v>
      </c>
      <c r="Z50" s="9">
        <v>60</v>
      </c>
      <c r="AA50" s="9">
        <v>72</v>
      </c>
      <c r="AB50" s="9">
        <v>60</v>
      </c>
      <c r="AC50" s="9">
        <v>84</v>
      </c>
      <c r="AD50" s="9" t="s">
        <v>69</v>
      </c>
      <c r="AE50" s="9" t="s">
        <v>69</v>
      </c>
      <c r="AF50" s="9" t="s">
        <v>300</v>
      </c>
      <c r="AG50" s="2">
        <v>45882</v>
      </c>
      <c r="AH50" s="3">
        <v>0.73263888888888884</v>
      </c>
      <c r="AI50" s="3">
        <v>0.79513888888888884</v>
      </c>
      <c r="AJ50" s="10" t="s">
        <v>301</v>
      </c>
      <c r="AK50" s="8" t="s">
        <v>58</v>
      </c>
      <c r="AL50" s="5" t="s">
        <v>59</v>
      </c>
      <c r="AM50" s="5" t="s">
        <v>59</v>
      </c>
      <c r="AN50" s="5" t="s">
        <v>59</v>
      </c>
      <c r="AO50" s="14">
        <v>45933</v>
      </c>
      <c r="AP50" s="4" t="s">
        <v>61</v>
      </c>
    </row>
    <row r="51" spans="1:42">
      <c r="A51" s="1">
        <v>52</v>
      </c>
      <c r="B51" s="1" t="s">
        <v>302</v>
      </c>
      <c r="C51" s="1" t="s">
        <v>303</v>
      </c>
      <c r="D51" s="1" t="s">
        <v>304</v>
      </c>
      <c r="E51" s="1" t="s">
        <v>45</v>
      </c>
      <c r="F51" s="1">
        <v>68711</v>
      </c>
      <c r="G51" s="1" t="s">
        <v>305</v>
      </c>
      <c r="H51" s="1">
        <v>42.13008</v>
      </c>
      <c r="I51" s="1">
        <v>-99.060019999999994</v>
      </c>
      <c r="J51" s="1" t="s">
        <v>306</v>
      </c>
      <c r="K51" s="1" t="s">
        <v>298</v>
      </c>
      <c r="L51" s="1" t="s">
        <v>49</v>
      </c>
      <c r="M51" s="9">
        <v>1297631</v>
      </c>
      <c r="N51" s="1" t="s">
        <v>50</v>
      </c>
      <c r="O51" s="1" t="s">
        <v>75</v>
      </c>
      <c r="P51" s="1" t="s">
        <v>52</v>
      </c>
      <c r="Q51" s="1" t="s">
        <v>307</v>
      </c>
      <c r="R51" s="9">
        <v>93856921</v>
      </c>
      <c r="S51" s="1" t="s">
        <v>54</v>
      </c>
      <c r="T51" s="1" t="s">
        <v>55</v>
      </c>
      <c r="U51" s="9">
        <v>118</v>
      </c>
      <c r="V51" s="9">
        <v>224</v>
      </c>
      <c r="W51" s="9">
        <v>226</v>
      </c>
      <c r="X51" s="9">
        <v>72</v>
      </c>
      <c r="Y51" s="9">
        <v>181</v>
      </c>
      <c r="Z51" s="9">
        <v>60</v>
      </c>
      <c r="AA51" s="9">
        <v>126</v>
      </c>
      <c r="AB51" s="9">
        <v>60</v>
      </c>
      <c r="AC51" s="9">
        <v>84</v>
      </c>
      <c r="AD51" s="9" t="s">
        <v>69</v>
      </c>
      <c r="AE51" s="9">
        <v>26</v>
      </c>
      <c r="AF51" s="9" t="s">
        <v>168</v>
      </c>
      <c r="AG51" s="2">
        <v>45882</v>
      </c>
      <c r="AH51" s="3">
        <v>0.66319444444444442</v>
      </c>
      <c r="AI51" s="3">
        <v>0.71875</v>
      </c>
      <c r="AJ51" s="10" t="s">
        <v>57</v>
      </c>
      <c r="AK51" s="8" t="s">
        <v>58</v>
      </c>
      <c r="AL51" s="5" t="s">
        <v>59</v>
      </c>
      <c r="AM51" s="5" t="s">
        <v>59</v>
      </c>
      <c r="AN51" s="5" t="s">
        <v>59</v>
      </c>
      <c r="AO51" s="14">
        <v>45917</v>
      </c>
      <c r="AP51" s="4" t="s">
        <v>61</v>
      </c>
    </row>
    <row r="52" spans="1:42" ht="21.6">
      <c r="A52" s="1">
        <v>228</v>
      </c>
      <c r="B52" s="13" t="s">
        <v>308</v>
      </c>
      <c r="C52" s="1" t="s">
        <v>309</v>
      </c>
      <c r="D52" s="1" t="s">
        <v>310</v>
      </c>
      <c r="E52" s="1" t="s">
        <v>45</v>
      </c>
      <c r="F52" s="1">
        <v>68882</v>
      </c>
      <c r="G52" s="1" t="s">
        <v>311</v>
      </c>
      <c r="H52" s="1">
        <v>41.398809999999997</v>
      </c>
      <c r="I52" s="1">
        <v>-98.387709999999998</v>
      </c>
      <c r="J52" s="1" t="s">
        <v>312</v>
      </c>
      <c r="K52" s="1" t="s">
        <v>298</v>
      </c>
      <c r="L52" s="1" t="s">
        <v>49</v>
      </c>
      <c r="M52" s="9">
        <v>1243257</v>
      </c>
      <c r="N52" s="1" t="s">
        <v>50</v>
      </c>
      <c r="O52" s="1" t="s">
        <v>313</v>
      </c>
      <c r="P52" s="1" t="s">
        <v>52</v>
      </c>
      <c r="Q52" s="1" t="s">
        <v>314</v>
      </c>
      <c r="R52" s="9">
        <v>335765362</v>
      </c>
      <c r="S52" s="1" t="s">
        <v>213</v>
      </c>
      <c r="T52" s="1" t="s">
        <v>55</v>
      </c>
      <c r="U52" s="9">
        <v>90</v>
      </c>
      <c r="V52" s="9">
        <v>96</v>
      </c>
      <c r="W52" s="9">
        <v>24</v>
      </c>
      <c r="X52" s="9">
        <v>96</v>
      </c>
      <c r="Y52" s="9">
        <v>120</v>
      </c>
      <c r="Z52" s="9">
        <v>240</v>
      </c>
      <c r="AA52" s="9">
        <v>12</v>
      </c>
      <c r="AB52" s="9">
        <v>96</v>
      </c>
      <c r="AC52" s="9">
        <v>120</v>
      </c>
      <c r="AD52" s="9" t="s">
        <v>69</v>
      </c>
      <c r="AE52" s="9" t="s">
        <v>69</v>
      </c>
      <c r="AF52" s="9" t="s">
        <v>70</v>
      </c>
      <c r="AG52" s="2">
        <v>45916</v>
      </c>
      <c r="AH52" s="3">
        <v>0.63124999999999998</v>
      </c>
      <c r="AI52" s="3">
        <v>0.67291666666666672</v>
      </c>
      <c r="AJ52" s="10" t="s">
        <v>315</v>
      </c>
      <c r="AK52" s="8" t="s">
        <v>58</v>
      </c>
      <c r="AL52" s="5" t="s">
        <v>59</v>
      </c>
      <c r="AM52" s="5" t="s">
        <v>59</v>
      </c>
      <c r="AN52" s="5" t="s">
        <v>59</v>
      </c>
      <c r="AO52" s="14">
        <v>45945</v>
      </c>
      <c r="AP52" s="4" t="s">
        <v>61</v>
      </c>
    </row>
    <row r="53" spans="1:42">
      <c r="A53" s="1">
        <v>233</v>
      </c>
      <c r="B53" s="1" t="s">
        <v>316</v>
      </c>
      <c r="C53" s="1" t="s">
        <v>317</v>
      </c>
      <c r="D53" s="1" t="s">
        <v>318</v>
      </c>
      <c r="E53" s="1" t="s">
        <v>45</v>
      </c>
      <c r="F53" s="1">
        <v>68873</v>
      </c>
      <c r="G53" s="1" t="s">
        <v>319</v>
      </c>
      <c r="H53" s="1">
        <v>41.234555559999997</v>
      </c>
      <c r="I53" s="1">
        <v>-98.45684722</v>
      </c>
      <c r="J53" s="1" t="s">
        <v>320</v>
      </c>
      <c r="K53" s="1" t="s">
        <v>298</v>
      </c>
      <c r="L53" s="1" t="s">
        <v>49</v>
      </c>
      <c r="M53" s="9">
        <v>1247141</v>
      </c>
      <c r="N53" s="1" t="s">
        <v>50</v>
      </c>
      <c r="O53" s="1" t="s">
        <v>321</v>
      </c>
      <c r="P53" s="1" t="s">
        <v>52</v>
      </c>
      <c r="Q53" s="1" t="s">
        <v>314</v>
      </c>
      <c r="R53" s="9">
        <v>333736201</v>
      </c>
      <c r="S53" s="1" t="s">
        <v>213</v>
      </c>
      <c r="T53" s="1" t="s">
        <v>55</v>
      </c>
      <c r="U53" s="9">
        <v>120</v>
      </c>
      <c r="V53" s="9">
        <v>74</v>
      </c>
      <c r="W53" s="9">
        <v>182</v>
      </c>
      <c r="X53" s="9">
        <v>62</v>
      </c>
      <c r="Y53" s="9">
        <v>145</v>
      </c>
      <c r="Z53" s="9">
        <v>36</v>
      </c>
      <c r="AA53" s="9">
        <v>60</v>
      </c>
      <c r="AB53" s="9">
        <v>36</v>
      </c>
      <c r="AC53" s="9">
        <v>86</v>
      </c>
      <c r="AD53" s="9" t="s">
        <v>69</v>
      </c>
      <c r="AE53" s="9" t="s">
        <v>69</v>
      </c>
      <c r="AF53" s="9" t="s">
        <v>168</v>
      </c>
      <c r="AG53" s="2">
        <v>45882</v>
      </c>
      <c r="AH53" s="3">
        <v>0.66666666666666663</v>
      </c>
      <c r="AI53" s="3">
        <v>0.73958333333333337</v>
      </c>
      <c r="AJ53" s="10" t="s">
        <v>322</v>
      </c>
      <c r="AK53" s="8" t="s">
        <v>58</v>
      </c>
      <c r="AL53" s="5" t="s">
        <v>59</v>
      </c>
      <c r="AM53" s="5" t="s">
        <v>59</v>
      </c>
      <c r="AN53" s="5" t="s">
        <v>59</v>
      </c>
      <c r="AO53" s="14">
        <v>45949</v>
      </c>
      <c r="AP53" s="4" t="s">
        <v>61</v>
      </c>
    </row>
    <row r="54" spans="1:42">
      <c r="A54" s="1">
        <v>234</v>
      </c>
      <c r="B54" s="1" t="s">
        <v>323</v>
      </c>
      <c r="C54" s="1" t="s">
        <v>324</v>
      </c>
      <c r="D54" s="1" t="s">
        <v>325</v>
      </c>
      <c r="E54" s="1" t="s">
        <v>45</v>
      </c>
      <c r="F54" s="1">
        <v>68842</v>
      </c>
      <c r="G54" s="1" t="s">
        <v>311</v>
      </c>
      <c r="H54" s="1">
        <v>41.618416670000002</v>
      </c>
      <c r="I54" s="1">
        <v>-98.512305560000001</v>
      </c>
      <c r="J54" s="1" t="s">
        <v>326</v>
      </c>
      <c r="K54" s="1" t="s">
        <v>298</v>
      </c>
      <c r="L54" s="1" t="s">
        <v>49</v>
      </c>
      <c r="M54" s="9">
        <v>1242804</v>
      </c>
      <c r="N54" s="1" t="s">
        <v>50</v>
      </c>
      <c r="O54" s="1" t="s">
        <v>327</v>
      </c>
      <c r="P54" s="1" t="s">
        <v>52</v>
      </c>
      <c r="Q54" s="1" t="s">
        <v>314</v>
      </c>
      <c r="R54" s="9">
        <v>333736525</v>
      </c>
      <c r="S54" s="1" t="s">
        <v>54</v>
      </c>
      <c r="T54" s="1" t="s">
        <v>55</v>
      </c>
      <c r="U54" s="9">
        <v>136</v>
      </c>
      <c r="V54" s="9">
        <v>48</v>
      </c>
      <c r="W54" s="9">
        <v>150</v>
      </c>
      <c r="X54" s="9">
        <v>64</v>
      </c>
      <c r="Y54" s="9">
        <v>96</v>
      </c>
      <c r="Z54" s="9">
        <v>185</v>
      </c>
      <c r="AA54" s="9">
        <v>215</v>
      </c>
      <c r="AB54" s="9">
        <v>48</v>
      </c>
      <c r="AC54" s="9">
        <v>60</v>
      </c>
      <c r="AD54" s="9" t="s">
        <v>69</v>
      </c>
      <c r="AE54" s="9" t="s">
        <v>69</v>
      </c>
      <c r="AF54" s="9" t="s">
        <v>70</v>
      </c>
      <c r="AG54" s="2">
        <v>45916</v>
      </c>
      <c r="AH54" s="3">
        <v>0.70833333333333337</v>
      </c>
      <c r="AI54" s="3">
        <v>0.8125</v>
      </c>
      <c r="AJ54" s="10" t="s">
        <v>57</v>
      </c>
      <c r="AK54" s="8" t="s">
        <v>328</v>
      </c>
      <c r="AL54" s="5" t="s">
        <v>59</v>
      </c>
      <c r="AM54" s="5" t="s">
        <v>59</v>
      </c>
      <c r="AN54" s="5" t="s">
        <v>59</v>
      </c>
      <c r="AO54" s="14">
        <v>45923</v>
      </c>
      <c r="AP54" s="4" t="s">
        <v>61</v>
      </c>
    </row>
    <row r="55" spans="1:42">
      <c r="A55" s="1">
        <v>246</v>
      </c>
      <c r="B55" s="1" t="s">
        <v>329</v>
      </c>
      <c r="C55" s="1" t="s">
        <v>330</v>
      </c>
      <c r="D55" s="1" t="s">
        <v>331</v>
      </c>
      <c r="E55" s="1" t="s">
        <v>45</v>
      </c>
      <c r="F55" s="1">
        <v>68725</v>
      </c>
      <c r="G55" s="1" t="s">
        <v>305</v>
      </c>
      <c r="H55" s="1">
        <v>42.17</v>
      </c>
      <c r="I55" s="1">
        <v>-98.649529999999999</v>
      </c>
      <c r="J55" s="1" t="s">
        <v>332</v>
      </c>
      <c r="K55" s="1" t="s">
        <v>298</v>
      </c>
      <c r="L55" s="1" t="s">
        <v>49</v>
      </c>
      <c r="M55" s="9">
        <v>1244397</v>
      </c>
      <c r="N55" s="1" t="s">
        <v>50</v>
      </c>
      <c r="O55" s="1" t="s">
        <v>333</v>
      </c>
      <c r="P55" s="1" t="s">
        <v>52</v>
      </c>
      <c r="Q55" s="1" t="s">
        <v>307</v>
      </c>
      <c r="R55" s="9">
        <v>93858843</v>
      </c>
      <c r="S55" s="1" t="s">
        <v>213</v>
      </c>
      <c r="T55" s="1" t="s">
        <v>55</v>
      </c>
      <c r="U55" s="9">
        <v>102</v>
      </c>
      <c r="V55" s="9">
        <v>207</v>
      </c>
      <c r="W55" s="9">
        <v>194</v>
      </c>
      <c r="X55" s="9">
        <v>105</v>
      </c>
      <c r="Y55" s="9">
        <v>177</v>
      </c>
      <c r="Z55" s="9">
        <v>122</v>
      </c>
      <c r="AA55" s="9">
        <v>48</v>
      </c>
      <c r="AB55" s="9">
        <v>105</v>
      </c>
      <c r="AC55" s="9">
        <v>27</v>
      </c>
      <c r="AD55" s="9" t="s">
        <v>69</v>
      </c>
      <c r="AE55" s="9">
        <v>26</v>
      </c>
      <c r="AF55" s="9" t="s">
        <v>168</v>
      </c>
      <c r="AG55" s="2">
        <v>45882</v>
      </c>
      <c r="AH55" s="3">
        <v>0.58333333333333337</v>
      </c>
      <c r="AI55" s="3">
        <v>0.63749999999999996</v>
      </c>
      <c r="AJ55" s="10" t="s">
        <v>57</v>
      </c>
      <c r="AK55" s="8" t="s">
        <v>58</v>
      </c>
      <c r="AL55" s="5" t="s">
        <v>59</v>
      </c>
      <c r="AM55" s="5" t="s">
        <v>59</v>
      </c>
      <c r="AN55" s="5" t="s">
        <v>59</v>
      </c>
      <c r="AO55" s="14">
        <v>45917</v>
      </c>
      <c r="AP55" s="4" t="s">
        <v>61</v>
      </c>
    </row>
    <row r="56" spans="1:42" ht="64.900000000000006">
      <c r="A56" s="1">
        <v>329</v>
      </c>
      <c r="B56" s="1" t="s">
        <v>334</v>
      </c>
      <c r="C56" s="1" t="s">
        <v>335</v>
      </c>
      <c r="D56" s="1" t="s">
        <v>336</v>
      </c>
      <c r="E56" s="1" t="s">
        <v>45</v>
      </c>
      <c r="F56" s="1">
        <v>68823</v>
      </c>
      <c r="G56" s="1" t="s">
        <v>337</v>
      </c>
      <c r="H56" s="1">
        <v>41.781860000000002</v>
      </c>
      <c r="I56" s="1">
        <v>-99.135239999999996</v>
      </c>
      <c r="J56" s="1" t="s">
        <v>338</v>
      </c>
      <c r="K56" s="1" t="s">
        <v>298</v>
      </c>
      <c r="L56" s="1" t="s">
        <v>49</v>
      </c>
      <c r="N56" s="1" t="s">
        <v>50</v>
      </c>
      <c r="O56" s="1" t="s">
        <v>153</v>
      </c>
      <c r="P56" s="1" t="s">
        <v>153</v>
      </c>
      <c r="Q56" s="1" t="s">
        <v>339</v>
      </c>
      <c r="R56" s="9">
        <v>356371695</v>
      </c>
      <c r="S56" s="1" t="s">
        <v>54</v>
      </c>
      <c r="T56" s="1" t="s">
        <v>55</v>
      </c>
      <c r="U56" s="9">
        <v>36</v>
      </c>
      <c r="V56" s="9">
        <v>36</v>
      </c>
      <c r="W56" s="9">
        <v>40</v>
      </c>
      <c r="X56" s="9">
        <v>40</v>
      </c>
      <c r="Y56" s="9">
        <v>40</v>
      </c>
      <c r="Z56" s="9">
        <v>60</v>
      </c>
      <c r="AA56" s="9">
        <v>60</v>
      </c>
      <c r="AB56" s="9">
        <v>60</v>
      </c>
      <c r="AC56" s="9">
        <v>960</v>
      </c>
      <c r="AD56" s="9" t="s">
        <v>69</v>
      </c>
      <c r="AE56" s="9" t="s">
        <v>69</v>
      </c>
      <c r="AF56" s="9" t="s">
        <v>168</v>
      </c>
      <c r="AG56" s="2">
        <v>45881</v>
      </c>
      <c r="AH56" s="3">
        <v>0.4375</v>
      </c>
      <c r="AI56" s="3">
        <v>0.4861111111111111</v>
      </c>
      <c r="AJ56" s="10" t="s">
        <v>340</v>
      </c>
      <c r="AK56" s="8" t="s">
        <v>58</v>
      </c>
      <c r="AL56" s="5" t="s">
        <v>59</v>
      </c>
      <c r="AM56" s="5" t="s">
        <v>59</v>
      </c>
      <c r="AN56" s="5" t="s">
        <v>59</v>
      </c>
      <c r="AO56" s="15" t="s">
        <v>341</v>
      </c>
      <c r="AP56" s="4" t="s">
        <v>61</v>
      </c>
    </row>
    <row r="57" spans="1:42">
      <c r="A57" s="1">
        <v>400</v>
      </c>
      <c r="B57" s="1" t="s">
        <v>342</v>
      </c>
      <c r="C57" s="1" t="s">
        <v>343</v>
      </c>
      <c r="D57" s="1" t="s">
        <v>344</v>
      </c>
      <c r="E57" s="1" t="s">
        <v>45</v>
      </c>
      <c r="F57" s="1">
        <v>68853</v>
      </c>
      <c r="G57" s="1" t="s">
        <v>345</v>
      </c>
      <c r="H57" s="1">
        <v>41.27467</v>
      </c>
      <c r="I57" s="1">
        <v>-98.975269999999995</v>
      </c>
      <c r="J57" s="1" t="s">
        <v>346</v>
      </c>
      <c r="K57" s="1" t="s">
        <v>298</v>
      </c>
      <c r="L57" s="1" t="s">
        <v>49</v>
      </c>
      <c r="M57" s="9">
        <v>1276137</v>
      </c>
      <c r="N57" s="1" t="s">
        <v>50</v>
      </c>
      <c r="O57" s="1" t="s">
        <v>347</v>
      </c>
      <c r="P57" s="1" t="s">
        <v>52</v>
      </c>
      <c r="Q57" s="1" t="s">
        <v>68</v>
      </c>
      <c r="R57" s="9">
        <v>143352865</v>
      </c>
      <c r="S57" s="1" t="s">
        <v>54</v>
      </c>
      <c r="T57" s="1" t="s">
        <v>55</v>
      </c>
      <c r="U57" s="9">
        <v>108</v>
      </c>
      <c r="V57" s="9">
        <v>249</v>
      </c>
      <c r="W57" s="9">
        <v>305</v>
      </c>
      <c r="X57" s="9">
        <v>150</v>
      </c>
      <c r="Y57" s="9">
        <v>180</v>
      </c>
      <c r="Z57" s="9">
        <v>180</v>
      </c>
      <c r="AA57" s="9">
        <v>96</v>
      </c>
      <c r="AB57" s="9">
        <v>150</v>
      </c>
      <c r="AC57" s="9">
        <v>96</v>
      </c>
      <c r="AD57" s="9" t="s">
        <v>69</v>
      </c>
      <c r="AE57" s="9" t="s">
        <v>69</v>
      </c>
      <c r="AF57" s="9" t="s">
        <v>168</v>
      </c>
      <c r="AG57" s="2">
        <v>45883</v>
      </c>
      <c r="AH57" s="3">
        <v>0.5625</v>
      </c>
      <c r="AI57" s="3">
        <v>0.65625</v>
      </c>
      <c r="AJ57" s="10" t="s">
        <v>57</v>
      </c>
      <c r="AK57" s="8" t="s">
        <v>58</v>
      </c>
      <c r="AL57" s="5" t="s">
        <v>59</v>
      </c>
      <c r="AM57" s="5" t="s">
        <v>59</v>
      </c>
      <c r="AN57" s="5" t="s">
        <v>59</v>
      </c>
      <c r="AO57" s="14">
        <v>45917</v>
      </c>
      <c r="AP57" s="4" t="s">
        <v>61</v>
      </c>
    </row>
    <row r="58" spans="1:42">
      <c r="A58" s="1">
        <v>405</v>
      </c>
      <c r="B58" s="1" t="s">
        <v>348</v>
      </c>
      <c r="C58" s="1" t="s">
        <v>349</v>
      </c>
      <c r="D58" s="1" t="s">
        <v>350</v>
      </c>
      <c r="E58" s="1" t="s">
        <v>45</v>
      </c>
      <c r="F58" s="1">
        <v>68828</v>
      </c>
      <c r="G58" s="1" t="s">
        <v>351</v>
      </c>
      <c r="H58" s="1">
        <v>41.595367000000003</v>
      </c>
      <c r="I58" s="1">
        <v>-99.238223000000005</v>
      </c>
      <c r="J58" s="1" t="s">
        <v>352</v>
      </c>
      <c r="K58" s="1" t="s">
        <v>298</v>
      </c>
      <c r="L58" s="1" t="s">
        <v>49</v>
      </c>
      <c r="M58" s="9">
        <v>1258516</v>
      </c>
      <c r="N58" s="1" t="s">
        <v>50</v>
      </c>
      <c r="O58" s="1" t="s">
        <v>75</v>
      </c>
      <c r="P58" s="1" t="s">
        <v>52</v>
      </c>
      <c r="Q58" s="1" t="s">
        <v>68</v>
      </c>
      <c r="R58" s="9"/>
      <c r="S58" s="1" t="s">
        <v>213</v>
      </c>
      <c r="T58" s="1" t="s">
        <v>55</v>
      </c>
      <c r="U58" s="9">
        <v>92</v>
      </c>
      <c r="V58" s="9">
        <v>36</v>
      </c>
      <c r="W58" s="9">
        <v>125</v>
      </c>
      <c r="X58" s="9">
        <v>96</v>
      </c>
      <c r="Y58" s="9">
        <v>126</v>
      </c>
      <c r="Z58" s="9">
        <v>420</v>
      </c>
      <c r="AA58" s="9">
        <v>25</v>
      </c>
      <c r="AB58" s="9">
        <v>105</v>
      </c>
      <c r="AC58" s="9">
        <v>120</v>
      </c>
      <c r="AD58" s="9" t="s">
        <v>69</v>
      </c>
      <c r="AE58" s="9" t="s">
        <v>69</v>
      </c>
      <c r="AF58" s="9" t="s">
        <v>353</v>
      </c>
      <c r="AG58" s="2">
        <v>45888</v>
      </c>
      <c r="AH58" s="3">
        <v>0.46527777777777779</v>
      </c>
      <c r="AI58" s="3">
        <v>0.51041666666666663</v>
      </c>
      <c r="AJ58" s="10" t="s">
        <v>178</v>
      </c>
      <c r="AK58" s="8" t="s">
        <v>58</v>
      </c>
      <c r="AL58" s="5" t="s">
        <v>59</v>
      </c>
      <c r="AM58" s="5" t="s">
        <v>59</v>
      </c>
      <c r="AN58" s="5" t="s">
        <v>59</v>
      </c>
      <c r="AO58" s="14">
        <v>45923</v>
      </c>
      <c r="AP58" s="4" t="s">
        <v>61</v>
      </c>
    </row>
    <row r="59" spans="1:42" ht="21.6">
      <c r="A59" s="1">
        <v>406</v>
      </c>
      <c r="B59" s="1" t="s">
        <v>354</v>
      </c>
      <c r="C59" s="1" t="s">
        <v>355</v>
      </c>
      <c r="D59" s="1" t="s">
        <v>356</v>
      </c>
      <c r="E59" s="1" t="s">
        <v>45</v>
      </c>
      <c r="F59" s="1">
        <v>68817</v>
      </c>
      <c r="G59" s="1" t="s">
        <v>345</v>
      </c>
      <c r="H59" s="1">
        <v>41.247555560000002</v>
      </c>
      <c r="I59" s="1">
        <v>-98.803638890000002</v>
      </c>
      <c r="J59" s="1" t="s">
        <v>357</v>
      </c>
      <c r="K59" s="1" t="s">
        <v>298</v>
      </c>
      <c r="L59" s="1" t="s">
        <v>49</v>
      </c>
      <c r="M59" s="9">
        <v>1265987</v>
      </c>
      <c r="N59" s="1" t="s">
        <v>50</v>
      </c>
      <c r="O59" s="1" t="s">
        <v>321</v>
      </c>
      <c r="P59" s="1" t="s">
        <v>52</v>
      </c>
      <c r="Q59" s="1" t="s">
        <v>358</v>
      </c>
      <c r="R59" s="9">
        <v>143472030</v>
      </c>
      <c r="S59" s="1" t="s">
        <v>213</v>
      </c>
      <c r="T59" s="1" t="s">
        <v>55</v>
      </c>
      <c r="U59" s="9">
        <v>104</v>
      </c>
      <c r="V59" s="9">
        <v>218</v>
      </c>
      <c r="W59" s="9">
        <v>224</v>
      </c>
      <c r="X59" s="9">
        <v>152</v>
      </c>
      <c r="Y59" s="9">
        <v>132</v>
      </c>
      <c r="Z59" s="9">
        <v>186</v>
      </c>
      <c r="AA59" s="9">
        <v>60</v>
      </c>
      <c r="AB59" s="9">
        <v>152</v>
      </c>
      <c r="AC59" s="9">
        <v>96</v>
      </c>
      <c r="AD59" s="9" t="s">
        <v>69</v>
      </c>
      <c r="AE59" s="9">
        <v>48</v>
      </c>
      <c r="AF59" s="9" t="s">
        <v>168</v>
      </c>
      <c r="AG59" s="2">
        <v>45883</v>
      </c>
      <c r="AH59" s="3">
        <v>0.75347222222222221</v>
      </c>
      <c r="AI59" s="3">
        <v>0.83680555555555558</v>
      </c>
      <c r="AJ59" s="10" t="s">
        <v>359</v>
      </c>
      <c r="AK59" s="8" t="s">
        <v>58</v>
      </c>
      <c r="AL59" s="5" t="s">
        <v>59</v>
      </c>
      <c r="AM59" s="5" t="s">
        <v>59</v>
      </c>
      <c r="AN59" s="5" t="s">
        <v>59</v>
      </c>
      <c r="AO59" s="15" t="s">
        <v>341</v>
      </c>
      <c r="AP59" s="4" t="s">
        <v>61</v>
      </c>
    </row>
    <row r="60" spans="1:42" ht="32.450000000000003">
      <c r="A60" s="1">
        <v>435</v>
      </c>
      <c r="B60" s="1" t="s">
        <v>360</v>
      </c>
      <c r="C60" s="1" t="s">
        <v>361</v>
      </c>
      <c r="D60" s="1" t="s">
        <v>362</v>
      </c>
      <c r="E60" s="1" t="s">
        <v>45</v>
      </c>
      <c r="F60" s="1">
        <v>68814</v>
      </c>
      <c r="G60" s="1" t="s">
        <v>351</v>
      </c>
      <c r="H60" s="1">
        <v>41.470309999999998</v>
      </c>
      <c r="I60" s="1">
        <v>-99.393860000000004</v>
      </c>
      <c r="J60" s="1" t="s">
        <v>363</v>
      </c>
      <c r="K60" s="1" t="s">
        <v>298</v>
      </c>
      <c r="L60" s="1" t="s">
        <v>49</v>
      </c>
      <c r="M60" s="9">
        <v>1258511</v>
      </c>
      <c r="N60" s="1" t="s">
        <v>50</v>
      </c>
      <c r="O60" s="1" t="s">
        <v>321</v>
      </c>
      <c r="P60" s="1" t="s">
        <v>52</v>
      </c>
      <c r="Q60" s="1" t="s">
        <v>364</v>
      </c>
      <c r="R60" s="9">
        <v>337952153</v>
      </c>
      <c r="S60" s="1" t="s">
        <v>54</v>
      </c>
      <c r="T60" s="1" t="s">
        <v>365</v>
      </c>
      <c r="U60" s="9">
        <v>104</v>
      </c>
      <c r="V60" s="9">
        <v>208</v>
      </c>
      <c r="W60" s="9">
        <v>222</v>
      </c>
      <c r="X60" s="9">
        <v>127</v>
      </c>
      <c r="Y60" s="9">
        <v>125</v>
      </c>
      <c r="Z60" s="9">
        <v>128</v>
      </c>
      <c r="AA60" s="9">
        <v>48</v>
      </c>
      <c r="AB60" s="9">
        <v>128</v>
      </c>
      <c r="AC60" s="9">
        <v>60</v>
      </c>
      <c r="AD60" s="9" t="s">
        <v>69</v>
      </c>
      <c r="AE60" s="9">
        <v>4</v>
      </c>
      <c r="AF60" s="9" t="s">
        <v>168</v>
      </c>
      <c r="AG60" s="2">
        <v>45882</v>
      </c>
      <c r="AH60" s="3">
        <v>0.81597222222222221</v>
      </c>
      <c r="AI60" s="3">
        <v>0.89930555555555558</v>
      </c>
      <c r="AJ60" s="10" t="s">
        <v>366</v>
      </c>
      <c r="AK60" s="8" t="s">
        <v>367</v>
      </c>
      <c r="AL60" s="5" t="s">
        <v>59</v>
      </c>
      <c r="AM60" s="5" t="s">
        <v>59</v>
      </c>
      <c r="AN60" s="5" t="s">
        <v>59</v>
      </c>
      <c r="AO60" s="14">
        <v>45903</v>
      </c>
      <c r="AP60" s="4" t="s">
        <v>61</v>
      </c>
    </row>
    <row r="61" spans="1:42">
      <c r="A61" s="1">
        <v>440</v>
      </c>
      <c r="B61" s="1" t="s">
        <v>368</v>
      </c>
      <c r="C61" s="1" t="s">
        <v>369</v>
      </c>
      <c r="D61" s="1" t="s">
        <v>370</v>
      </c>
      <c r="E61" s="1" t="s">
        <v>45</v>
      </c>
      <c r="F61" s="1">
        <v>68835</v>
      </c>
      <c r="G61" s="1" t="s">
        <v>319</v>
      </c>
      <c r="H61" s="1">
        <v>41.365805559999998</v>
      </c>
      <c r="I61" s="1">
        <v>-98.643611109999995</v>
      </c>
      <c r="J61" s="1" t="s">
        <v>371</v>
      </c>
      <c r="K61" s="1" t="s">
        <v>298</v>
      </c>
      <c r="L61" s="1" t="s">
        <v>49</v>
      </c>
      <c r="M61" s="9">
        <v>1260801</v>
      </c>
      <c r="N61" s="1" t="s">
        <v>50</v>
      </c>
      <c r="O61" s="1" t="s">
        <v>372</v>
      </c>
      <c r="P61" s="1" t="s">
        <v>52</v>
      </c>
      <c r="Q61" s="1" t="s">
        <v>314</v>
      </c>
      <c r="R61" s="9">
        <v>335766127</v>
      </c>
      <c r="S61" s="1" t="s">
        <v>54</v>
      </c>
      <c r="T61" s="1" t="s">
        <v>55</v>
      </c>
      <c r="U61" s="9">
        <v>108</v>
      </c>
      <c r="V61" s="9">
        <v>48</v>
      </c>
      <c r="W61" s="9">
        <v>132</v>
      </c>
      <c r="X61" s="9">
        <v>96</v>
      </c>
      <c r="Y61" s="9">
        <v>120</v>
      </c>
      <c r="Z61" s="9">
        <v>120</v>
      </c>
      <c r="AA61" s="9">
        <v>48</v>
      </c>
      <c r="AB61" s="9">
        <v>120</v>
      </c>
      <c r="AC61" s="9">
        <v>84</v>
      </c>
      <c r="AD61" s="9" t="s">
        <v>69</v>
      </c>
      <c r="AE61" s="9">
        <v>48</v>
      </c>
      <c r="AF61" s="9" t="s">
        <v>168</v>
      </c>
      <c r="AG61" s="2">
        <v>45881</v>
      </c>
      <c r="AH61" s="3">
        <v>0.4861111111111111</v>
      </c>
      <c r="AI61" s="3">
        <v>0.55555555555555558</v>
      </c>
      <c r="AJ61" s="10" t="s">
        <v>57</v>
      </c>
      <c r="AK61" s="8" t="s">
        <v>58</v>
      </c>
      <c r="AL61" s="5" t="s">
        <v>59</v>
      </c>
      <c r="AM61" s="5" t="s">
        <v>59</v>
      </c>
      <c r="AN61" s="5" t="s">
        <v>59</v>
      </c>
      <c r="AO61" s="14">
        <v>45917</v>
      </c>
      <c r="AP61" s="4" t="s">
        <v>61</v>
      </c>
    </row>
    <row r="62" spans="1:42">
      <c r="A62" s="1">
        <v>445</v>
      </c>
      <c r="B62" s="1" t="s">
        <v>373</v>
      </c>
      <c r="C62" s="1" t="s">
        <v>374</v>
      </c>
      <c r="D62" s="1" t="s">
        <v>375</v>
      </c>
      <c r="E62" s="1" t="s">
        <v>45</v>
      </c>
      <c r="F62" s="1">
        <v>68859</v>
      </c>
      <c r="G62" s="1" t="s">
        <v>376</v>
      </c>
      <c r="H62" s="1">
        <v>41.492899000000001</v>
      </c>
      <c r="I62" s="1">
        <v>-98.798454000000007</v>
      </c>
      <c r="J62" s="1" t="s">
        <v>377</v>
      </c>
      <c r="K62" s="1" t="s">
        <v>298</v>
      </c>
      <c r="L62" s="1" t="s">
        <v>49</v>
      </c>
      <c r="M62" s="9">
        <v>1260799</v>
      </c>
      <c r="N62" s="1" t="s">
        <v>50</v>
      </c>
      <c r="O62" s="1" t="s">
        <v>378</v>
      </c>
      <c r="P62" s="1" t="s">
        <v>52</v>
      </c>
      <c r="Q62" s="1" t="s">
        <v>339</v>
      </c>
      <c r="R62" s="9" t="s">
        <v>379</v>
      </c>
      <c r="S62" s="1" t="s">
        <v>54</v>
      </c>
      <c r="T62" s="1" t="s">
        <v>55</v>
      </c>
      <c r="U62" s="9">
        <v>108</v>
      </c>
      <c r="V62" s="9">
        <v>48</v>
      </c>
      <c r="W62" s="9">
        <v>132</v>
      </c>
      <c r="X62" s="9">
        <v>96</v>
      </c>
      <c r="Y62" s="9">
        <v>120</v>
      </c>
      <c r="Z62" s="9">
        <v>120</v>
      </c>
      <c r="AA62" s="9">
        <v>48</v>
      </c>
      <c r="AB62" s="9">
        <v>120</v>
      </c>
      <c r="AC62" s="9">
        <v>86</v>
      </c>
      <c r="AD62" s="9" t="s">
        <v>69</v>
      </c>
      <c r="AE62" s="9">
        <v>48</v>
      </c>
      <c r="AF62" s="9" t="s">
        <v>168</v>
      </c>
      <c r="AG62" s="2">
        <v>45881</v>
      </c>
      <c r="AH62" s="3">
        <v>0.55902777777777779</v>
      </c>
      <c r="AI62" s="3">
        <v>0.69444444444444442</v>
      </c>
      <c r="AJ62" s="10" t="s">
        <v>301</v>
      </c>
      <c r="AK62" s="8" t="s">
        <v>58</v>
      </c>
      <c r="AL62" s="5" t="s">
        <v>59</v>
      </c>
      <c r="AM62" s="5" t="s">
        <v>59</v>
      </c>
      <c r="AN62" s="5" t="s">
        <v>59</v>
      </c>
      <c r="AO62" s="14">
        <v>45923</v>
      </c>
      <c r="AP62" s="4" t="s">
        <v>61</v>
      </c>
    </row>
    <row r="63" spans="1:42">
      <c r="A63" s="1">
        <v>448</v>
      </c>
      <c r="B63" s="1" t="s">
        <v>380</v>
      </c>
      <c r="C63" s="1" t="s">
        <v>381</v>
      </c>
      <c r="D63" s="1" t="s">
        <v>382</v>
      </c>
      <c r="E63" s="1" t="s">
        <v>45</v>
      </c>
      <c r="F63" s="1">
        <v>68862</v>
      </c>
      <c r="G63" s="1" t="s">
        <v>376</v>
      </c>
      <c r="H63" s="1">
        <v>41.600830000000002</v>
      </c>
      <c r="I63" s="1">
        <v>-98.926500000000004</v>
      </c>
      <c r="J63" s="1" t="s">
        <v>383</v>
      </c>
      <c r="K63" s="1" t="s">
        <v>298</v>
      </c>
      <c r="L63" s="1" t="s">
        <v>49</v>
      </c>
      <c r="M63" s="9">
        <v>1260805</v>
      </c>
      <c r="N63" s="1" t="s">
        <v>50</v>
      </c>
      <c r="O63" s="1" t="s">
        <v>347</v>
      </c>
      <c r="P63" s="1" t="s">
        <v>52</v>
      </c>
      <c r="Q63" s="1" t="s">
        <v>339</v>
      </c>
      <c r="R63" s="9">
        <v>89018649</v>
      </c>
      <c r="S63" s="1" t="s">
        <v>54</v>
      </c>
      <c r="T63" s="1" t="s">
        <v>55</v>
      </c>
      <c r="U63" s="9">
        <v>48</v>
      </c>
      <c r="V63" s="9">
        <v>48</v>
      </c>
      <c r="W63" s="9">
        <v>126</v>
      </c>
      <c r="X63" s="9">
        <v>68</v>
      </c>
      <c r="Y63" s="9">
        <v>96</v>
      </c>
      <c r="Z63" s="9">
        <v>72</v>
      </c>
      <c r="AA63" s="9">
        <v>36</v>
      </c>
      <c r="AB63" s="9">
        <v>108</v>
      </c>
      <c r="AC63" s="9">
        <v>86</v>
      </c>
      <c r="AD63" s="9" t="s">
        <v>69</v>
      </c>
      <c r="AE63" s="9" t="s">
        <v>69</v>
      </c>
      <c r="AF63" s="9" t="s">
        <v>300</v>
      </c>
      <c r="AG63" s="2">
        <v>45881</v>
      </c>
      <c r="AH63" s="3">
        <v>0.71111111111111114</v>
      </c>
      <c r="AI63" s="3">
        <v>0.7944444444444444</v>
      </c>
      <c r="AJ63" s="10" t="s">
        <v>322</v>
      </c>
      <c r="AK63" s="8" t="s">
        <v>58</v>
      </c>
      <c r="AL63" s="5" t="s">
        <v>59</v>
      </c>
      <c r="AM63" s="5" t="s">
        <v>59</v>
      </c>
      <c r="AN63" s="5" t="s">
        <v>59</v>
      </c>
      <c r="AO63" s="14">
        <v>45925</v>
      </c>
      <c r="AP63" s="4" t="s">
        <v>61</v>
      </c>
    </row>
    <row r="64" spans="1:42">
      <c r="A64" s="1">
        <v>457</v>
      </c>
      <c r="B64" s="1" t="s">
        <v>384</v>
      </c>
      <c r="C64" s="1" t="s">
        <v>385</v>
      </c>
      <c r="D64" s="1" t="s">
        <v>331</v>
      </c>
      <c r="E64" s="1" t="s">
        <v>45</v>
      </c>
      <c r="F64" s="1">
        <v>68725</v>
      </c>
      <c r="G64" s="1" t="s">
        <v>305</v>
      </c>
      <c r="H64" s="1">
        <v>42.204279999999997</v>
      </c>
      <c r="I64" s="1">
        <v>-98.755830000000003</v>
      </c>
      <c r="J64" s="1" t="s">
        <v>386</v>
      </c>
      <c r="K64" s="1" t="s">
        <v>298</v>
      </c>
      <c r="L64" s="1" t="s">
        <v>49</v>
      </c>
      <c r="M64" s="9">
        <v>1270143</v>
      </c>
      <c r="N64" s="1" t="s">
        <v>50</v>
      </c>
      <c r="O64" s="1" t="s">
        <v>347</v>
      </c>
      <c r="P64" s="1" t="s">
        <v>52</v>
      </c>
      <c r="Q64" s="1" t="s">
        <v>307</v>
      </c>
      <c r="R64" s="9">
        <v>93860562</v>
      </c>
      <c r="S64" s="1" t="s">
        <v>54</v>
      </c>
      <c r="T64" s="1" t="s">
        <v>55</v>
      </c>
      <c r="U64" s="9">
        <v>102</v>
      </c>
      <c r="V64" s="9">
        <v>207</v>
      </c>
      <c r="W64" s="9">
        <v>194</v>
      </c>
      <c r="X64" s="9">
        <v>105</v>
      </c>
      <c r="Y64" s="9">
        <v>177</v>
      </c>
      <c r="Z64" s="9">
        <v>122</v>
      </c>
      <c r="AA64" s="9">
        <v>48</v>
      </c>
      <c r="AB64" s="9">
        <v>105</v>
      </c>
      <c r="AC64" s="9">
        <v>84</v>
      </c>
      <c r="AD64" s="9" t="s">
        <v>69</v>
      </c>
      <c r="AE64" s="9">
        <v>26</v>
      </c>
      <c r="AF64" s="9" t="s">
        <v>168</v>
      </c>
      <c r="AG64" s="2">
        <v>45881</v>
      </c>
      <c r="AH64" s="3">
        <v>0.52083333333333337</v>
      </c>
      <c r="AI64" s="3">
        <v>0.56944444444444442</v>
      </c>
      <c r="AJ64" s="10" t="s">
        <v>57</v>
      </c>
      <c r="AK64" s="8" t="s">
        <v>58</v>
      </c>
      <c r="AL64" s="5" t="s">
        <v>59</v>
      </c>
      <c r="AM64" s="5" t="s">
        <v>59</v>
      </c>
      <c r="AN64" s="5" t="s">
        <v>59</v>
      </c>
      <c r="AO64" s="14">
        <v>45917</v>
      </c>
      <c r="AP64" s="4" t="s">
        <v>61</v>
      </c>
    </row>
    <row r="65" spans="1:42" ht="43.15">
      <c r="A65" s="1">
        <v>483</v>
      </c>
      <c r="B65" s="1" t="s">
        <v>387</v>
      </c>
      <c r="C65" s="1" t="s">
        <v>388</v>
      </c>
      <c r="D65" s="1" t="s">
        <v>389</v>
      </c>
      <c r="E65" s="1" t="s">
        <v>45</v>
      </c>
      <c r="F65" s="1">
        <v>68864</v>
      </c>
      <c r="G65" s="1" t="s">
        <v>390</v>
      </c>
      <c r="H65" s="1">
        <v>41.220739999999999</v>
      </c>
      <c r="I65" s="1">
        <v>-98.269750000000002</v>
      </c>
      <c r="J65" s="1" t="s">
        <v>391</v>
      </c>
      <c r="K65" s="1" t="s">
        <v>298</v>
      </c>
      <c r="L65" s="1" t="s">
        <v>49</v>
      </c>
      <c r="M65" s="9">
        <v>1275795</v>
      </c>
      <c r="N65" s="1" t="s">
        <v>50</v>
      </c>
      <c r="O65" s="1" t="s">
        <v>75</v>
      </c>
      <c r="P65" s="1" t="s">
        <v>52</v>
      </c>
      <c r="Q65" s="1" t="s">
        <v>53</v>
      </c>
      <c r="R65" s="9">
        <v>135449567</v>
      </c>
      <c r="S65" s="1" t="s">
        <v>54</v>
      </c>
      <c r="T65" s="1" t="s">
        <v>55</v>
      </c>
      <c r="U65" s="9">
        <v>104</v>
      </c>
      <c r="V65" s="9">
        <v>206</v>
      </c>
      <c r="W65" s="9">
        <v>225</v>
      </c>
      <c r="X65" s="9">
        <v>129</v>
      </c>
      <c r="Y65" s="9">
        <v>124</v>
      </c>
      <c r="Z65" s="9">
        <v>124</v>
      </c>
      <c r="AA65" s="9">
        <v>98</v>
      </c>
      <c r="AB65" s="9">
        <v>152</v>
      </c>
      <c r="AC65" s="9">
        <v>74</v>
      </c>
      <c r="AD65" s="9" t="s">
        <v>69</v>
      </c>
      <c r="AE65" s="9" t="s">
        <v>69</v>
      </c>
      <c r="AF65" s="9" t="s">
        <v>168</v>
      </c>
      <c r="AG65" s="2">
        <v>45881</v>
      </c>
      <c r="AH65" s="3">
        <v>0.39791666666666664</v>
      </c>
      <c r="AI65" s="3">
        <v>0.44930555555555557</v>
      </c>
      <c r="AJ65" s="10" t="s">
        <v>392</v>
      </c>
      <c r="AK65" s="8" t="s">
        <v>58</v>
      </c>
      <c r="AL65" s="5" t="s">
        <v>59</v>
      </c>
      <c r="AM65" s="5" t="s">
        <v>59</v>
      </c>
      <c r="AN65" s="5" t="s">
        <v>59</v>
      </c>
      <c r="AO65" s="14">
        <v>45925</v>
      </c>
      <c r="AP65" s="4" t="s">
        <v>61</v>
      </c>
    </row>
    <row r="66" spans="1:42" ht="43.15">
      <c r="A66" s="1">
        <v>499</v>
      </c>
      <c r="B66" s="1" t="s">
        <v>393</v>
      </c>
      <c r="C66" s="1" t="s">
        <v>394</v>
      </c>
      <c r="D66" s="1" t="s">
        <v>336</v>
      </c>
      <c r="E66" s="1" t="s">
        <v>45</v>
      </c>
      <c r="F66" s="1">
        <v>68823</v>
      </c>
      <c r="G66" s="1" t="s">
        <v>337</v>
      </c>
      <c r="H66" s="1">
        <v>41.769770000000001</v>
      </c>
      <c r="I66" s="1">
        <v>-99.058120000000002</v>
      </c>
      <c r="J66" s="1" t="s">
        <v>395</v>
      </c>
      <c r="K66" s="1" t="s">
        <v>298</v>
      </c>
      <c r="L66" s="1" t="s">
        <v>49</v>
      </c>
      <c r="M66" s="9">
        <v>1274747</v>
      </c>
      <c r="N66" s="1" t="s">
        <v>50</v>
      </c>
      <c r="O66" s="1" t="s">
        <v>396</v>
      </c>
      <c r="P66" s="1" t="s">
        <v>52</v>
      </c>
      <c r="Q66" s="1" t="s">
        <v>339</v>
      </c>
      <c r="R66" s="9" t="s">
        <v>397</v>
      </c>
      <c r="S66" s="1" t="s">
        <v>54</v>
      </c>
      <c r="T66" s="1" t="s">
        <v>55</v>
      </c>
      <c r="U66" s="9">
        <v>118</v>
      </c>
      <c r="V66" s="9">
        <v>156</v>
      </c>
      <c r="W66" s="9">
        <v>153</v>
      </c>
      <c r="X66" s="9">
        <v>146</v>
      </c>
      <c r="Y66" s="9">
        <v>176</v>
      </c>
      <c r="Z66" s="9">
        <v>105</v>
      </c>
      <c r="AA66" s="9">
        <v>96</v>
      </c>
      <c r="AB66" s="9">
        <v>105</v>
      </c>
      <c r="AC66" s="9">
        <v>84</v>
      </c>
      <c r="AD66" s="9" t="s">
        <v>69</v>
      </c>
      <c r="AE66" s="9">
        <v>48</v>
      </c>
      <c r="AF66" s="9" t="s">
        <v>168</v>
      </c>
      <c r="AG66" s="2">
        <v>45881</v>
      </c>
      <c r="AH66" s="3">
        <v>0.75</v>
      </c>
      <c r="AI66" s="3">
        <v>0.81597222222222221</v>
      </c>
      <c r="AJ66" s="10" t="s">
        <v>398</v>
      </c>
      <c r="AK66" s="8" t="s">
        <v>58</v>
      </c>
      <c r="AL66" s="5" t="s">
        <v>59</v>
      </c>
      <c r="AM66" s="5" t="s">
        <v>59</v>
      </c>
      <c r="AN66" s="5" t="s">
        <v>59</v>
      </c>
      <c r="AO66" s="15" t="s">
        <v>341</v>
      </c>
      <c r="AP66" s="4" t="s">
        <v>61</v>
      </c>
    </row>
    <row r="67" spans="1:42" ht="21.6">
      <c r="A67" s="1">
        <v>727</v>
      </c>
      <c r="B67" s="1" t="s">
        <v>399</v>
      </c>
      <c r="C67" s="1" t="s">
        <v>400</v>
      </c>
      <c r="D67" s="1" t="s">
        <v>336</v>
      </c>
      <c r="E67" s="1" t="s">
        <v>45</v>
      </c>
      <c r="F67" s="1">
        <v>68823</v>
      </c>
      <c r="G67" s="1" t="s">
        <v>337</v>
      </c>
      <c r="H67" s="1">
        <v>41.772556090000002</v>
      </c>
      <c r="I67" s="1">
        <v>-99.130634630000003</v>
      </c>
      <c r="J67" s="1" t="s">
        <v>401</v>
      </c>
      <c r="K67" s="1" t="s">
        <v>298</v>
      </c>
      <c r="L67" s="1" t="s">
        <v>49</v>
      </c>
      <c r="M67" s="9">
        <v>1292774</v>
      </c>
      <c r="N67" s="1" t="s">
        <v>50</v>
      </c>
      <c r="O67" s="1" t="s">
        <v>230</v>
      </c>
      <c r="Q67" s="1" t="s">
        <v>339</v>
      </c>
      <c r="R67" s="9">
        <v>355505696</v>
      </c>
      <c r="S67" s="1" t="s">
        <v>54</v>
      </c>
      <c r="T67" s="1" t="s">
        <v>55</v>
      </c>
      <c r="U67" s="9">
        <v>112</v>
      </c>
      <c r="V67" s="9">
        <v>232</v>
      </c>
      <c r="W67" s="9">
        <v>285</v>
      </c>
      <c r="X67" s="9">
        <v>100</v>
      </c>
      <c r="Y67" s="9">
        <v>192</v>
      </c>
      <c r="Z67" s="9">
        <v>60</v>
      </c>
      <c r="AA67" s="9">
        <v>72</v>
      </c>
      <c r="AB67" s="9">
        <v>60</v>
      </c>
      <c r="AC67" s="9">
        <v>84</v>
      </c>
      <c r="AD67" s="9" t="s">
        <v>69</v>
      </c>
      <c r="AE67" s="9">
        <v>16</v>
      </c>
      <c r="AF67" s="9" t="s">
        <v>168</v>
      </c>
      <c r="AG67" s="2">
        <v>45881</v>
      </c>
      <c r="AH67" s="3">
        <v>0.82638888888888884</v>
      </c>
      <c r="AI67" s="3">
        <v>0.88541666666666663</v>
      </c>
      <c r="AJ67" s="10" t="s">
        <v>402</v>
      </c>
      <c r="AK67" s="8" t="s">
        <v>58</v>
      </c>
      <c r="AL67" s="5" t="s">
        <v>59</v>
      </c>
      <c r="AM67" s="5" t="s">
        <v>59</v>
      </c>
      <c r="AN67" s="5" t="s">
        <v>59</v>
      </c>
      <c r="AO67" s="15" t="s">
        <v>341</v>
      </c>
      <c r="AP67" s="4" t="s">
        <v>61</v>
      </c>
    </row>
    <row r="68" spans="1:42">
      <c r="A68" s="1">
        <v>753</v>
      </c>
      <c r="B68" s="1" t="s">
        <v>403</v>
      </c>
      <c r="C68" s="1" t="s">
        <v>404</v>
      </c>
      <c r="D68" s="1" t="s">
        <v>405</v>
      </c>
      <c r="E68" s="1" t="s">
        <v>45</v>
      </c>
      <c r="F68" s="1">
        <v>68714</v>
      </c>
      <c r="G68" s="1" t="s">
        <v>406</v>
      </c>
      <c r="H68" s="1">
        <v>42.180430000000001</v>
      </c>
      <c r="I68" s="1">
        <v>-99.513840000000002</v>
      </c>
      <c r="J68" s="1" t="s">
        <v>407</v>
      </c>
      <c r="K68" s="1" t="s">
        <v>298</v>
      </c>
      <c r="L68" s="1" t="s">
        <v>49</v>
      </c>
      <c r="M68" s="9">
        <v>1282613</v>
      </c>
      <c r="N68" s="1" t="s">
        <v>50</v>
      </c>
      <c r="O68" s="1" t="s">
        <v>75</v>
      </c>
      <c r="P68" s="1" t="s">
        <v>52</v>
      </c>
      <c r="Q68" s="1" t="s">
        <v>408</v>
      </c>
      <c r="R68" s="9">
        <v>10323</v>
      </c>
      <c r="S68" s="1" t="s">
        <v>54</v>
      </c>
      <c r="T68" s="1" t="s">
        <v>55</v>
      </c>
      <c r="U68" s="9">
        <v>120</v>
      </c>
      <c r="V68" s="9">
        <v>72</v>
      </c>
      <c r="W68" s="9">
        <v>180</v>
      </c>
      <c r="X68" s="9">
        <v>60</v>
      </c>
      <c r="Y68" s="9">
        <v>128</v>
      </c>
      <c r="Z68" s="9">
        <v>144</v>
      </c>
      <c r="AA68" s="9">
        <v>36</v>
      </c>
      <c r="AB68" s="9">
        <v>62</v>
      </c>
      <c r="AC68" s="9">
        <v>86</v>
      </c>
      <c r="AD68" s="9" t="s">
        <v>69</v>
      </c>
      <c r="AE68" s="9" t="s">
        <v>69</v>
      </c>
      <c r="AF68" s="9" t="s">
        <v>300</v>
      </c>
      <c r="AG68" s="2">
        <v>45881</v>
      </c>
      <c r="AH68" s="3">
        <v>0.52361111111111114</v>
      </c>
      <c r="AI68" s="3">
        <v>0.62708333333333333</v>
      </c>
      <c r="AJ68" s="10" t="s">
        <v>301</v>
      </c>
      <c r="AK68" s="8" t="s">
        <v>58</v>
      </c>
      <c r="AL68" s="5" t="s">
        <v>59</v>
      </c>
      <c r="AM68" s="5" t="s">
        <v>59</v>
      </c>
      <c r="AN68" s="5" t="s">
        <v>59</v>
      </c>
      <c r="AO68" s="14">
        <v>45925</v>
      </c>
      <c r="AP68" s="4" t="s">
        <v>61</v>
      </c>
    </row>
    <row r="69" spans="1:42">
      <c r="A69" s="11">
        <v>756</v>
      </c>
      <c r="B69" s="1" t="s">
        <v>409</v>
      </c>
      <c r="C69" s="1" t="s">
        <v>410</v>
      </c>
      <c r="D69" s="1" t="s">
        <v>411</v>
      </c>
      <c r="E69" s="1" t="s">
        <v>45</v>
      </c>
      <c r="F69" s="1">
        <v>68879</v>
      </c>
      <c r="G69" s="1" t="s">
        <v>412</v>
      </c>
      <c r="H69" s="1">
        <v>41.937060000000002</v>
      </c>
      <c r="I69" s="1">
        <v>-99.389529999999993</v>
      </c>
      <c r="J69" s="1" t="s">
        <v>413</v>
      </c>
      <c r="K69" s="1" t="s">
        <v>298</v>
      </c>
      <c r="L69" s="1" t="s">
        <v>49</v>
      </c>
      <c r="M69" s="9">
        <v>1282596</v>
      </c>
      <c r="N69" s="1" t="s">
        <v>50</v>
      </c>
      <c r="O69" s="1" t="s">
        <v>75</v>
      </c>
      <c r="P69" s="1" t="s">
        <v>52</v>
      </c>
      <c r="Q69" s="1" t="s">
        <v>364</v>
      </c>
      <c r="R69" s="9">
        <v>348554328</v>
      </c>
      <c r="S69" s="1" t="s">
        <v>54</v>
      </c>
      <c r="T69" s="1" t="s">
        <v>55</v>
      </c>
      <c r="U69" s="9">
        <v>114</v>
      </c>
      <c r="V69" s="9">
        <v>65</v>
      </c>
      <c r="W69" s="9">
        <v>128</v>
      </c>
      <c r="X69" s="9">
        <v>57</v>
      </c>
      <c r="Y69" s="9">
        <v>71</v>
      </c>
      <c r="Z69" s="9">
        <v>31</v>
      </c>
      <c r="AA69" s="9">
        <v>47</v>
      </c>
      <c r="AB69" s="9">
        <v>32</v>
      </c>
      <c r="AC69" s="9">
        <v>72</v>
      </c>
      <c r="AD69" s="9" t="s">
        <v>69</v>
      </c>
      <c r="AE69" s="9" t="s">
        <v>69</v>
      </c>
      <c r="AF69" s="9" t="s">
        <v>168</v>
      </c>
      <c r="AG69" s="2">
        <v>45882</v>
      </c>
      <c r="AH69" s="3">
        <v>0.34375</v>
      </c>
      <c r="AI69" s="3">
        <v>0.47916666666666669</v>
      </c>
      <c r="AJ69" s="10" t="s">
        <v>57</v>
      </c>
      <c r="AK69" s="8" t="s">
        <v>58</v>
      </c>
      <c r="AL69" s="5" t="s">
        <v>59</v>
      </c>
      <c r="AM69" s="5" t="s">
        <v>59</v>
      </c>
      <c r="AN69" s="5" t="s">
        <v>59</v>
      </c>
      <c r="AO69" s="14">
        <v>45917</v>
      </c>
      <c r="AP69" s="4" t="s">
        <v>61</v>
      </c>
    </row>
    <row r="70" spans="1:42">
      <c r="A70" s="1">
        <v>759</v>
      </c>
      <c r="B70" s="1" t="s">
        <v>414</v>
      </c>
      <c r="C70" s="1" t="s">
        <v>415</v>
      </c>
      <c r="D70" s="1" t="s">
        <v>344</v>
      </c>
      <c r="E70" s="1" t="s">
        <v>45</v>
      </c>
      <c r="F70" s="1">
        <v>68853</v>
      </c>
      <c r="H70" s="1">
        <v>41.338239999999999</v>
      </c>
      <c r="I70" s="1">
        <v>-98.88794</v>
      </c>
      <c r="J70" s="1" t="s">
        <v>416</v>
      </c>
      <c r="K70" s="1" t="s">
        <v>298</v>
      </c>
      <c r="L70" s="1" t="s">
        <v>49</v>
      </c>
      <c r="M70" s="9">
        <v>1282617</v>
      </c>
      <c r="N70" s="1" t="s">
        <v>50</v>
      </c>
      <c r="O70" s="1" t="s">
        <v>417</v>
      </c>
      <c r="P70" s="1" t="s">
        <v>52</v>
      </c>
      <c r="Q70" s="1" t="s">
        <v>339</v>
      </c>
      <c r="R70" s="9" t="s">
        <v>418</v>
      </c>
      <c r="S70" s="1" t="s">
        <v>54</v>
      </c>
      <c r="T70" s="1" t="s">
        <v>55</v>
      </c>
      <c r="U70" s="9">
        <v>115</v>
      </c>
      <c r="V70" s="9">
        <v>232</v>
      </c>
      <c r="W70" s="9">
        <v>285</v>
      </c>
      <c r="X70" s="9">
        <v>100</v>
      </c>
      <c r="Y70" s="9">
        <v>192</v>
      </c>
      <c r="Z70" s="9">
        <v>60</v>
      </c>
      <c r="AA70" s="9">
        <v>72</v>
      </c>
      <c r="AB70" s="9">
        <v>60</v>
      </c>
      <c r="AC70" s="9">
        <v>84</v>
      </c>
      <c r="AD70" s="9" t="s">
        <v>69</v>
      </c>
      <c r="AE70" s="9">
        <v>22</v>
      </c>
      <c r="AF70" s="9" t="s">
        <v>168</v>
      </c>
      <c r="AG70" s="2">
        <v>45883</v>
      </c>
      <c r="AH70" s="3" t="s">
        <v>419</v>
      </c>
      <c r="AI70" s="3" t="s">
        <v>420</v>
      </c>
      <c r="AJ70" s="10" t="s">
        <v>421</v>
      </c>
      <c r="AK70" s="8" t="s">
        <v>58</v>
      </c>
      <c r="AL70" s="5" t="s">
        <v>59</v>
      </c>
      <c r="AM70" s="5" t="s">
        <v>59</v>
      </c>
      <c r="AN70" s="5" t="s">
        <v>59</v>
      </c>
      <c r="AO70" s="14">
        <v>45945</v>
      </c>
      <c r="AP70" s="4" t="s">
        <v>61</v>
      </c>
    </row>
    <row r="71" spans="1:42">
      <c r="A71" s="1">
        <v>779</v>
      </c>
      <c r="B71" s="1" t="s">
        <v>422</v>
      </c>
      <c r="C71" s="1" t="s">
        <v>423</v>
      </c>
      <c r="D71" s="1" t="s">
        <v>411</v>
      </c>
      <c r="E71" s="1" t="s">
        <v>45</v>
      </c>
      <c r="F71" s="1">
        <v>68879</v>
      </c>
      <c r="G71" s="1" t="s">
        <v>412</v>
      </c>
      <c r="H71" s="1">
        <v>41.763640000000002</v>
      </c>
      <c r="I71" s="1">
        <v>-99.376959999999997</v>
      </c>
      <c r="J71" s="1" t="s">
        <v>424</v>
      </c>
      <c r="K71" s="1" t="s">
        <v>298</v>
      </c>
      <c r="L71" s="1" t="s">
        <v>49</v>
      </c>
      <c r="M71" s="9">
        <v>1312626</v>
      </c>
      <c r="N71" s="1" t="s">
        <v>50</v>
      </c>
      <c r="O71" s="1" t="s">
        <v>75</v>
      </c>
      <c r="P71" s="1" t="s">
        <v>52</v>
      </c>
      <c r="Q71" s="1" t="s">
        <v>364</v>
      </c>
      <c r="R71" s="9">
        <v>337952327</v>
      </c>
      <c r="S71" s="1" t="s">
        <v>213</v>
      </c>
      <c r="T71" s="1" t="s">
        <v>55</v>
      </c>
      <c r="U71" s="9">
        <v>120</v>
      </c>
      <c r="V71" s="9">
        <v>74</v>
      </c>
      <c r="W71" s="9">
        <v>182</v>
      </c>
      <c r="X71" s="9">
        <v>62</v>
      </c>
      <c r="Y71" s="9">
        <v>145</v>
      </c>
      <c r="Z71" s="9">
        <v>36</v>
      </c>
      <c r="AA71" s="9">
        <v>60</v>
      </c>
      <c r="AB71" s="9">
        <v>36</v>
      </c>
      <c r="AC71" s="9">
        <v>86</v>
      </c>
      <c r="AD71" s="9" t="s">
        <v>69</v>
      </c>
      <c r="AE71" s="9" t="s">
        <v>69</v>
      </c>
      <c r="AF71" s="9" t="s">
        <v>300</v>
      </c>
      <c r="AG71" s="2">
        <v>45882</v>
      </c>
      <c r="AH71" s="3">
        <v>0.66666666666666663</v>
      </c>
      <c r="AI71" s="3">
        <v>0.73958333333333337</v>
      </c>
      <c r="AJ71" s="10" t="s">
        <v>301</v>
      </c>
      <c r="AK71" s="8" t="s">
        <v>58</v>
      </c>
      <c r="AL71" s="5" t="s">
        <v>59</v>
      </c>
      <c r="AM71" s="5" t="s">
        <v>59</v>
      </c>
      <c r="AN71" s="5" t="s">
        <v>59</v>
      </c>
      <c r="AO71" s="14">
        <v>45949</v>
      </c>
      <c r="AP71" s="4" t="s">
        <v>61</v>
      </c>
    </row>
    <row r="72" spans="1:42" ht="21.6">
      <c r="A72" s="1">
        <v>993</v>
      </c>
      <c r="B72" s="1" t="s">
        <v>425</v>
      </c>
      <c r="C72" s="1" t="s">
        <v>426</v>
      </c>
      <c r="D72" s="1" t="s">
        <v>427</v>
      </c>
      <c r="E72" s="1" t="s">
        <v>45</v>
      </c>
      <c r="F72" s="1">
        <v>68815</v>
      </c>
      <c r="G72" s="1" t="s">
        <v>376</v>
      </c>
      <c r="H72" s="1">
        <v>41.427943280000001</v>
      </c>
      <c r="I72" s="1">
        <v>-99.122633309999998</v>
      </c>
      <c r="J72" s="1" t="s">
        <v>428</v>
      </c>
      <c r="K72" s="1" t="s">
        <v>298</v>
      </c>
      <c r="L72" s="1" t="s">
        <v>49</v>
      </c>
      <c r="M72" s="9">
        <v>1312623</v>
      </c>
      <c r="N72" s="1" t="s">
        <v>50</v>
      </c>
      <c r="O72" s="1" t="s">
        <v>429</v>
      </c>
      <c r="P72" s="1" t="s">
        <v>52</v>
      </c>
      <c r="Q72" s="1" t="s">
        <v>339</v>
      </c>
      <c r="R72" s="9" t="s">
        <v>430</v>
      </c>
      <c r="S72" s="1" t="s">
        <v>213</v>
      </c>
      <c r="T72" s="1" t="s">
        <v>55</v>
      </c>
      <c r="U72" s="9">
        <v>108</v>
      </c>
      <c r="V72" s="9">
        <v>208</v>
      </c>
      <c r="W72" s="9">
        <v>222</v>
      </c>
      <c r="X72" s="9">
        <v>86</v>
      </c>
      <c r="Y72" s="9">
        <v>188</v>
      </c>
      <c r="Z72" s="9">
        <v>60</v>
      </c>
      <c r="AA72" s="9">
        <v>72</v>
      </c>
      <c r="AB72" s="9">
        <v>38</v>
      </c>
      <c r="AC72" s="9">
        <v>88</v>
      </c>
      <c r="AD72" s="9" t="s">
        <v>69</v>
      </c>
      <c r="AE72" s="9">
        <v>22</v>
      </c>
      <c r="AF72" s="9" t="s">
        <v>168</v>
      </c>
      <c r="AG72" s="2">
        <v>45882</v>
      </c>
      <c r="AH72" s="3">
        <v>0.76041666666666663</v>
      </c>
      <c r="AI72" s="3">
        <v>0.8125</v>
      </c>
      <c r="AJ72" s="10" t="s">
        <v>431</v>
      </c>
      <c r="AK72" s="8" t="s">
        <v>58</v>
      </c>
      <c r="AL72" s="5" t="s">
        <v>59</v>
      </c>
      <c r="AM72" s="5" t="s">
        <v>59</v>
      </c>
      <c r="AN72" s="5" t="s">
        <v>59</v>
      </c>
      <c r="AO72" s="15" t="s">
        <v>341</v>
      </c>
      <c r="AP72" s="4" t="s">
        <v>61</v>
      </c>
    </row>
    <row r="73" spans="1:42">
      <c r="A73" s="1">
        <v>91</v>
      </c>
      <c r="B73" s="1" t="s">
        <v>432</v>
      </c>
      <c r="C73" s="1" t="s">
        <v>433</v>
      </c>
      <c r="D73" s="1" t="s">
        <v>434</v>
      </c>
      <c r="E73" s="1" t="s">
        <v>45</v>
      </c>
      <c r="F73" s="1">
        <v>68780</v>
      </c>
      <c r="G73" s="1" t="s">
        <v>305</v>
      </c>
      <c r="H73" s="1">
        <v>42.596181710000003</v>
      </c>
      <c r="I73" s="1">
        <v>-99.140416389999999</v>
      </c>
      <c r="J73" s="1" t="s">
        <v>435</v>
      </c>
      <c r="K73" s="1" t="s">
        <v>436</v>
      </c>
      <c r="L73" s="1" t="s">
        <v>49</v>
      </c>
      <c r="M73" s="9">
        <v>1298811</v>
      </c>
      <c r="N73" s="1" t="s">
        <v>50</v>
      </c>
      <c r="O73" s="1" t="s">
        <v>437</v>
      </c>
      <c r="P73" s="1" t="s">
        <v>52</v>
      </c>
      <c r="Q73" s="1" t="s">
        <v>438</v>
      </c>
      <c r="R73" s="9">
        <v>22651506</v>
      </c>
      <c r="S73" s="1" t="s">
        <v>54</v>
      </c>
      <c r="T73" s="1" t="s">
        <v>55</v>
      </c>
      <c r="U73" s="9">
        <v>108</v>
      </c>
      <c r="V73" s="9">
        <v>178</v>
      </c>
      <c r="W73" s="9">
        <v>220</v>
      </c>
      <c r="X73" s="9">
        <v>96</v>
      </c>
      <c r="Y73" s="9">
        <v>220</v>
      </c>
      <c r="Z73" s="9">
        <v>95</v>
      </c>
      <c r="AA73" s="9">
        <v>48</v>
      </c>
      <c r="AB73" s="9">
        <v>32</v>
      </c>
      <c r="AC73" s="9">
        <v>72</v>
      </c>
      <c r="AD73" s="9" t="s">
        <v>69</v>
      </c>
      <c r="AE73" s="9" t="s">
        <v>69</v>
      </c>
      <c r="AF73" s="9" t="s">
        <v>56</v>
      </c>
      <c r="AG73" s="2">
        <v>45889</v>
      </c>
      <c r="AH73" s="3">
        <v>0.31944444444444442</v>
      </c>
      <c r="AI73" s="3">
        <v>0.36458333333333331</v>
      </c>
      <c r="AJ73" s="10" t="s">
        <v>57</v>
      </c>
      <c r="AK73" s="8" t="s">
        <v>58</v>
      </c>
      <c r="AL73" s="5" t="s">
        <v>59</v>
      </c>
      <c r="AM73" s="5" t="s">
        <v>59</v>
      </c>
      <c r="AN73" s="5" t="s">
        <v>59</v>
      </c>
      <c r="AO73" s="14">
        <v>45949</v>
      </c>
      <c r="AP73" s="4" t="s">
        <v>61</v>
      </c>
    </row>
    <row r="74" spans="1:42">
      <c r="A74" s="1">
        <v>114</v>
      </c>
      <c r="B74" s="1" t="s">
        <v>439</v>
      </c>
      <c r="C74" s="1" t="s">
        <v>440</v>
      </c>
      <c r="D74" s="1" t="s">
        <v>441</v>
      </c>
      <c r="E74" s="1" t="s">
        <v>45</v>
      </c>
      <c r="F74" s="1">
        <v>68713</v>
      </c>
      <c r="G74" s="1" t="s">
        <v>305</v>
      </c>
      <c r="H74" s="1">
        <v>42.433920000000001</v>
      </c>
      <c r="I74" s="1">
        <v>-98.967410000000001</v>
      </c>
      <c r="J74" s="1" t="s">
        <v>442</v>
      </c>
      <c r="K74" s="1" t="s">
        <v>436</v>
      </c>
      <c r="L74" s="1" t="s">
        <v>49</v>
      </c>
      <c r="M74" s="9">
        <v>1312850</v>
      </c>
      <c r="N74" s="1" t="s">
        <v>50</v>
      </c>
      <c r="O74" s="1" t="s">
        <v>443</v>
      </c>
      <c r="P74" s="1" t="s">
        <v>52</v>
      </c>
      <c r="Q74" s="1" t="s">
        <v>444</v>
      </c>
      <c r="R74" s="9">
        <v>99825937</v>
      </c>
      <c r="S74" s="1" t="s">
        <v>54</v>
      </c>
      <c r="T74" s="1" t="s">
        <v>55</v>
      </c>
      <c r="U74" s="9">
        <v>112</v>
      </c>
      <c r="V74" s="9">
        <v>192</v>
      </c>
      <c r="W74" s="9">
        <v>238</v>
      </c>
      <c r="X74" s="9">
        <v>140</v>
      </c>
      <c r="Y74" s="9">
        <v>160</v>
      </c>
      <c r="Z74" s="9">
        <v>188</v>
      </c>
      <c r="AA74" s="9">
        <v>86</v>
      </c>
      <c r="AB74" s="9">
        <v>150</v>
      </c>
      <c r="AC74" s="9">
        <v>60</v>
      </c>
      <c r="AD74" s="9" t="s">
        <v>69</v>
      </c>
      <c r="AE74" s="9" t="s">
        <v>69</v>
      </c>
      <c r="AF74" s="9" t="s">
        <v>56</v>
      </c>
      <c r="AG74" s="2">
        <v>45887</v>
      </c>
      <c r="AH74" s="3">
        <v>0.5625</v>
      </c>
      <c r="AI74" s="3">
        <v>0.60416666666666663</v>
      </c>
      <c r="AJ74" s="10" t="s">
        <v>57</v>
      </c>
      <c r="AK74" s="8" t="s">
        <v>58</v>
      </c>
      <c r="AL74" s="5" t="s">
        <v>59</v>
      </c>
      <c r="AM74" s="5" t="s">
        <v>59</v>
      </c>
      <c r="AN74" s="5" t="s">
        <v>59</v>
      </c>
      <c r="AO74" s="14">
        <v>45949</v>
      </c>
      <c r="AP74" s="4" t="s">
        <v>61</v>
      </c>
    </row>
    <row r="75" spans="1:42">
      <c r="A75" s="1">
        <v>118</v>
      </c>
      <c r="B75" s="1" t="s">
        <v>445</v>
      </c>
      <c r="C75" s="1" t="s">
        <v>446</v>
      </c>
      <c r="D75" s="1" t="s">
        <v>447</v>
      </c>
      <c r="E75" s="1" t="s">
        <v>45</v>
      </c>
      <c r="F75" s="1">
        <v>68753</v>
      </c>
      <c r="G75" s="1" t="s">
        <v>448</v>
      </c>
      <c r="H75" s="1">
        <v>42.796340000000001</v>
      </c>
      <c r="I75" s="1">
        <v>-99.395820000000001</v>
      </c>
      <c r="J75" s="1" t="s">
        <v>449</v>
      </c>
      <c r="K75" s="1" t="s">
        <v>436</v>
      </c>
      <c r="L75" s="1" t="s">
        <v>49</v>
      </c>
      <c r="M75" s="9">
        <v>1297071</v>
      </c>
      <c r="N75" s="1" t="s">
        <v>50</v>
      </c>
      <c r="O75" s="1" t="s">
        <v>75</v>
      </c>
      <c r="P75" s="1" t="s">
        <v>52</v>
      </c>
      <c r="Q75" s="1" t="s">
        <v>408</v>
      </c>
      <c r="R75" s="9">
        <v>12303</v>
      </c>
      <c r="S75" s="1" t="s">
        <v>54</v>
      </c>
      <c r="T75" s="1" t="s">
        <v>55</v>
      </c>
      <c r="U75" s="9">
        <v>110</v>
      </c>
      <c r="V75" s="9">
        <v>170</v>
      </c>
      <c r="W75" s="9">
        <v>226</v>
      </c>
      <c r="X75" s="9">
        <v>96</v>
      </c>
      <c r="Y75" s="9">
        <v>266</v>
      </c>
      <c r="Z75" s="9">
        <v>90</v>
      </c>
      <c r="AA75" s="9">
        <v>60</v>
      </c>
      <c r="AB75" s="9">
        <v>28</v>
      </c>
      <c r="AC75" s="9">
        <v>84</v>
      </c>
      <c r="AD75" s="9" t="s">
        <v>69</v>
      </c>
      <c r="AE75" s="9" t="s">
        <v>69</v>
      </c>
      <c r="AF75" s="9" t="s">
        <v>56</v>
      </c>
      <c r="AG75" s="2">
        <v>45888</v>
      </c>
      <c r="AH75" s="3">
        <v>0.76388888888888884</v>
      </c>
      <c r="AI75" s="3">
        <v>0.80555555555555558</v>
      </c>
      <c r="AJ75" s="10" t="s">
        <v>57</v>
      </c>
      <c r="AK75" s="8" t="s">
        <v>58</v>
      </c>
      <c r="AL75" s="5" t="s">
        <v>59</v>
      </c>
      <c r="AM75" s="5" t="s">
        <v>59</v>
      </c>
      <c r="AN75" s="5" t="s">
        <v>59</v>
      </c>
      <c r="AO75" s="14">
        <v>45949</v>
      </c>
      <c r="AP75" s="4" t="s">
        <v>61</v>
      </c>
    </row>
    <row r="76" spans="1:42" ht="21.6">
      <c r="A76" s="1">
        <v>165</v>
      </c>
      <c r="B76" s="1" t="s">
        <v>450</v>
      </c>
      <c r="C76" s="1" t="s">
        <v>451</v>
      </c>
      <c r="D76" s="1" t="s">
        <v>452</v>
      </c>
      <c r="E76" s="1" t="s">
        <v>45</v>
      </c>
      <c r="F76" s="1">
        <v>68763</v>
      </c>
      <c r="G76" s="1" t="s">
        <v>305</v>
      </c>
      <c r="H76" s="1">
        <v>42.450299999999999</v>
      </c>
      <c r="I76" s="1">
        <v>-98.638540000000006</v>
      </c>
      <c r="J76" s="1" t="s">
        <v>453</v>
      </c>
      <c r="K76" s="1" t="s">
        <v>436</v>
      </c>
      <c r="L76" s="1" t="s">
        <v>49</v>
      </c>
      <c r="N76" s="1" t="s">
        <v>50</v>
      </c>
      <c r="O76" s="1" t="s">
        <v>230</v>
      </c>
      <c r="P76" s="1" t="s">
        <v>52</v>
      </c>
      <c r="Q76" s="1" t="s">
        <v>68</v>
      </c>
      <c r="R76" s="9">
        <v>146467572</v>
      </c>
      <c r="T76" s="1" t="s">
        <v>55</v>
      </c>
      <c r="V76" s="9">
        <v>36</v>
      </c>
      <c r="W76" s="9">
        <v>36</v>
      </c>
      <c r="X76" s="9">
        <v>36</v>
      </c>
      <c r="Y76" s="9">
        <v>36</v>
      </c>
      <c r="Z76" s="9">
        <v>36</v>
      </c>
      <c r="AA76" s="9">
        <v>50</v>
      </c>
      <c r="AB76" s="9">
        <v>36</v>
      </c>
      <c r="AC76" s="9">
        <v>60</v>
      </c>
      <c r="AD76" s="9" t="s">
        <v>69</v>
      </c>
      <c r="AE76" s="9" t="s">
        <v>69</v>
      </c>
      <c r="AF76" s="9" t="s">
        <v>56</v>
      </c>
      <c r="AG76" s="2">
        <v>45887</v>
      </c>
      <c r="AH76" s="3">
        <v>0.69791666666666663</v>
      </c>
      <c r="AI76" s="3">
        <v>0.23958333333333334</v>
      </c>
      <c r="AJ76" s="10" t="s">
        <v>454</v>
      </c>
      <c r="AK76" s="8" t="s">
        <v>58</v>
      </c>
      <c r="AL76" s="5" t="s">
        <v>59</v>
      </c>
      <c r="AM76" s="5" t="s">
        <v>59</v>
      </c>
      <c r="AN76" s="5" t="s">
        <v>59</v>
      </c>
      <c r="AO76" s="14">
        <v>45949</v>
      </c>
      <c r="AP76" s="4" t="s">
        <v>61</v>
      </c>
    </row>
    <row r="77" spans="1:42">
      <c r="A77" s="1">
        <v>247</v>
      </c>
      <c r="B77" s="1" t="s">
        <v>455</v>
      </c>
      <c r="C77" s="1" t="s">
        <v>456</v>
      </c>
      <c r="D77" s="1" t="s">
        <v>452</v>
      </c>
      <c r="E77" s="1" t="s">
        <v>45</v>
      </c>
      <c r="F77" s="1">
        <v>68763</v>
      </c>
      <c r="G77" s="1" t="s">
        <v>305</v>
      </c>
      <c r="H77" s="1">
        <v>42.458579999999998</v>
      </c>
      <c r="I77" s="1">
        <v>-98.580020000000005</v>
      </c>
      <c r="J77" s="1" t="s">
        <v>457</v>
      </c>
      <c r="K77" s="1" t="s">
        <v>436</v>
      </c>
      <c r="L77" s="1" t="s">
        <v>49</v>
      </c>
      <c r="M77" s="9">
        <v>1244969</v>
      </c>
      <c r="N77" s="1" t="s">
        <v>50</v>
      </c>
      <c r="O77" s="1" t="s">
        <v>94</v>
      </c>
      <c r="P77" s="1" t="s">
        <v>52</v>
      </c>
      <c r="Q77" s="1" t="s">
        <v>307</v>
      </c>
      <c r="R77" s="9">
        <v>93859565</v>
      </c>
      <c r="S77" s="1" t="s">
        <v>54</v>
      </c>
      <c r="T77" s="1" t="s">
        <v>55</v>
      </c>
      <c r="U77" s="9">
        <v>96</v>
      </c>
      <c r="V77" s="9">
        <v>170</v>
      </c>
      <c r="W77" s="9">
        <v>210</v>
      </c>
      <c r="X77" s="9">
        <v>100</v>
      </c>
      <c r="Y77" s="9">
        <v>270</v>
      </c>
      <c r="Z77" s="9">
        <v>72</v>
      </c>
      <c r="AA77" s="9">
        <v>36</v>
      </c>
      <c r="AB77" s="9">
        <v>95</v>
      </c>
      <c r="AC77" s="9">
        <v>36</v>
      </c>
      <c r="AD77" s="9" t="s">
        <v>69</v>
      </c>
      <c r="AE77" s="9" t="s">
        <v>69</v>
      </c>
      <c r="AF77" s="9" t="s">
        <v>56</v>
      </c>
      <c r="AG77" s="2">
        <v>45888</v>
      </c>
      <c r="AH77" s="3">
        <v>0.3125</v>
      </c>
      <c r="AI77" s="3">
        <v>0.35416666666666669</v>
      </c>
      <c r="AJ77" s="10" t="s">
        <v>458</v>
      </c>
      <c r="AK77" s="8" t="s">
        <v>58</v>
      </c>
      <c r="AL77" s="5" t="s">
        <v>59</v>
      </c>
      <c r="AM77" s="5" t="s">
        <v>59</v>
      </c>
      <c r="AN77" s="5" t="s">
        <v>59</v>
      </c>
      <c r="AO77" s="14">
        <v>45949</v>
      </c>
      <c r="AP77" s="4" t="s">
        <v>61</v>
      </c>
    </row>
    <row r="78" spans="1:42">
      <c r="A78" s="1">
        <v>267</v>
      </c>
      <c r="B78" s="1" t="s">
        <v>459</v>
      </c>
      <c r="C78" s="1" t="s">
        <v>460</v>
      </c>
      <c r="D78" s="1" t="s">
        <v>461</v>
      </c>
      <c r="E78" s="1" t="s">
        <v>45</v>
      </c>
      <c r="F78" s="1">
        <v>68714</v>
      </c>
      <c r="G78" s="1" t="s">
        <v>406</v>
      </c>
      <c r="H78" s="1">
        <v>42.591169999999998</v>
      </c>
      <c r="I78" s="1">
        <v>-99.520259999999993</v>
      </c>
      <c r="J78" s="1" t="s">
        <v>462</v>
      </c>
      <c r="K78" s="1" t="s">
        <v>436</v>
      </c>
      <c r="L78" s="1" t="s">
        <v>49</v>
      </c>
      <c r="M78" s="9">
        <v>1260303</v>
      </c>
      <c r="N78" s="1" t="s">
        <v>50</v>
      </c>
      <c r="O78" s="1" t="s">
        <v>463</v>
      </c>
      <c r="P78" s="1" t="s">
        <v>52</v>
      </c>
      <c r="Q78" s="1" t="s">
        <v>408</v>
      </c>
      <c r="R78" s="9">
        <v>14226</v>
      </c>
      <c r="S78" s="1" t="s">
        <v>54</v>
      </c>
      <c r="T78" s="1" t="s">
        <v>55</v>
      </c>
      <c r="U78" s="9">
        <v>102</v>
      </c>
      <c r="V78" s="9">
        <v>130</v>
      </c>
      <c r="W78" s="9">
        <v>190</v>
      </c>
      <c r="X78" s="9">
        <v>154</v>
      </c>
      <c r="Y78" s="9">
        <v>128</v>
      </c>
      <c r="Z78" s="9">
        <v>238</v>
      </c>
      <c r="AA78" s="9">
        <v>40</v>
      </c>
      <c r="AB78" s="9">
        <v>155</v>
      </c>
      <c r="AC78" s="9">
        <v>84</v>
      </c>
      <c r="AD78" s="9" t="s">
        <v>69</v>
      </c>
      <c r="AE78" s="9" t="s">
        <v>69</v>
      </c>
      <c r="AF78" s="9" t="s">
        <v>56</v>
      </c>
      <c r="AG78" s="2">
        <v>45889</v>
      </c>
      <c r="AH78" s="3">
        <v>0.43055555555555558</v>
      </c>
      <c r="AI78" s="3">
        <v>0.47222222222222221</v>
      </c>
      <c r="AJ78" s="10" t="s">
        <v>464</v>
      </c>
      <c r="AK78" s="8" t="s">
        <v>58</v>
      </c>
      <c r="AL78" s="5" t="s">
        <v>59</v>
      </c>
      <c r="AM78" s="5" t="s">
        <v>59</v>
      </c>
      <c r="AN78" s="5" t="s">
        <v>59</v>
      </c>
      <c r="AO78" s="14">
        <v>45955</v>
      </c>
      <c r="AP78" s="4" t="s">
        <v>61</v>
      </c>
    </row>
    <row r="79" spans="1:42">
      <c r="A79" s="1">
        <v>269</v>
      </c>
      <c r="B79" s="1" t="s">
        <v>465</v>
      </c>
      <c r="C79" s="1" t="s">
        <v>466</v>
      </c>
      <c r="D79" s="1" t="s">
        <v>452</v>
      </c>
      <c r="E79" s="1" t="s">
        <v>45</v>
      </c>
      <c r="F79" s="1">
        <v>68763</v>
      </c>
      <c r="G79" s="1" t="s">
        <v>305</v>
      </c>
      <c r="H79" s="1">
        <v>42.45668611</v>
      </c>
      <c r="I79" s="1">
        <v>-98.647191669999998</v>
      </c>
      <c r="J79" s="1" t="s">
        <v>467</v>
      </c>
      <c r="K79" s="1" t="s">
        <v>436</v>
      </c>
      <c r="L79" s="1" t="s">
        <v>49</v>
      </c>
      <c r="M79" s="9" t="s">
        <v>299</v>
      </c>
      <c r="N79" s="1" t="s">
        <v>50</v>
      </c>
      <c r="O79" s="1" t="s">
        <v>468</v>
      </c>
      <c r="P79" s="1" t="s">
        <v>52</v>
      </c>
      <c r="Q79" s="1" t="s">
        <v>68</v>
      </c>
      <c r="R79" s="9">
        <v>175812453</v>
      </c>
      <c r="S79" s="1" t="s">
        <v>54</v>
      </c>
      <c r="T79" s="1" t="s">
        <v>55</v>
      </c>
      <c r="U79" s="9">
        <v>64</v>
      </c>
      <c r="V79" s="9">
        <v>36</v>
      </c>
      <c r="W79" s="9">
        <v>12</v>
      </c>
      <c r="X79" s="9" t="s">
        <v>69</v>
      </c>
      <c r="Y79" s="9">
        <v>130</v>
      </c>
      <c r="Z79" s="9">
        <v>650</v>
      </c>
      <c r="AA79" s="9">
        <v>20</v>
      </c>
      <c r="AB79" s="9">
        <v>90</v>
      </c>
      <c r="AC79" s="9" t="s">
        <v>69</v>
      </c>
      <c r="AD79" s="9" t="s">
        <v>69</v>
      </c>
      <c r="AE79" s="9" t="s">
        <v>69</v>
      </c>
      <c r="AF79" s="9" t="s">
        <v>353</v>
      </c>
      <c r="AG79" s="2">
        <v>45917</v>
      </c>
      <c r="AH79" s="3">
        <v>0.61041666666666672</v>
      </c>
      <c r="AI79" s="3">
        <v>0.6118055555555556</v>
      </c>
      <c r="AJ79" s="10" t="s">
        <v>178</v>
      </c>
      <c r="AK79" s="8" t="s">
        <v>69</v>
      </c>
      <c r="AL79" s="5" t="s">
        <v>59</v>
      </c>
      <c r="AM79" s="5" t="s">
        <v>59</v>
      </c>
      <c r="AN79" s="5" t="s">
        <v>59</v>
      </c>
      <c r="AO79" s="14">
        <v>45955</v>
      </c>
      <c r="AP79" s="4" t="s">
        <v>61</v>
      </c>
    </row>
    <row r="80" spans="1:42">
      <c r="A80" s="1">
        <v>270</v>
      </c>
      <c r="B80" s="1" t="s">
        <v>469</v>
      </c>
      <c r="C80" s="1" t="s">
        <v>470</v>
      </c>
      <c r="D80" s="1" t="s">
        <v>441</v>
      </c>
      <c r="E80" s="1" t="s">
        <v>45</v>
      </c>
      <c r="F80" s="1">
        <v>68713</v>
      </c>
      <c r="G80" s="1" t="s">
        <v>305</v>
      </c>
      <c r="H80" s="1">
        <v>42.530800999999997</v>
      </c>
      <c r="I80" s="1">
        <v>-98.970453000000006</v>
      </c>
      <c r="J80" s="1" t="s">
        <v>471</v>
      </c>
      <c r="K80" s="1" t="s">
        <v>436</v>
      </c>
      <c r="L80" s="1" t="s">
        <v>49</v>
      </c>
      <c r="M80" s="9">
        <v>12602961</v>
      </c>
      <c r="N80" s="1" t="s">
        <v>50</v>
      </c>
      <c r="O80" s="1" t="s">
        <v>347</v>
      </c>
      <c r="P80" s="1" t="s">
        <v>52</v>
      </c>
      <c r="Q80" s="1" t="s">
        <v>68</v>
      </c>
      <c r="R80" s="9">
        <v>146463559</v>
      </c>
      <c r="S80" s="1" t="s">
        <v>54</v>
      </c>
      <c r="T80" s="1" t="s">
        <v>55</v>
      </c>
      <c r="U80" s="9">
        <v>241</v>
      </c>
      <c r="V80" s="9">
        <v>227</v>
      </c>
      <c r="W80" s="9">
        <v>32</v>
      </c>
      <c r="X80" s="9">
        <v>92</v>
      </c>
      <c r="Y80" s="9">
        <v>183</v>
      </c>
      <c r="Z80" s="9">
        <v>106</v>
      </c>
      <c r="AA80" s="9">
        <v>108</v>
      </c>
      <c r="AB80" s="9">
        <v>90</v>
      </c>
      <c r="AC80" s="9">
        <v>210</v>
      </c>
      <c r="AD80" s="9" t="s">
        <v>69</v>
      </c>
      <c r="AE80" s="9" t="s">
        <v>69</v>
      </c>
      <c r="AF80" s="9" t="s">
        <v>472</v>
      </c>
      <c r="AG80" s="2">
        <v>45937</v>
      </c>
      <c r="AH80" s="3">
        <v>0.40902777777777777</v>
      </c>
      <c r="AI80" s="3">
        <v>0.43888888888888888</v>
      </c>
      <c r="AJ80" s="10" t="s">
        <v>178</v>
      </c>
      <c r="AK80" s="8" t="s">
        <v>58</v>
      </c>
      <c r="AL80" s="5" t="s">
        <v>59</v>
      </c>
      <c r="AM80" s="5" t="s">
        <v>59</v>
      </c>
      <c r="AN80" s="5" t="s">
        <v>59</v>
      </c>
      <c r="AO80" s="14">
        <v>45949</v>
      </c>
      <c r="AP80" s="4" t="s">
        <v>61</v>
      </c>
    </row>
    <row r="81" spans="1:42" ht="21.6">
      <c r="A81" s="1">
        <v>334</v>
      </c>
      <c r="B81" s="1" t="s">
        <v>473</v>
      </c>
      <c r="C81" s="1" t="s">
        <v>474</v>
      </c>
      <c r="D81" s="1" t="s">
        <v>461</v>
      </c>
      <c r="E81" s="1" t="s">
        <v>45</v>
      </c>
      <c r="F81" s="1">
        <v>68714</v>
      </c>
      <c r="G81" s="1" t="s">
        <v>406</v>
      </c>
      <c r="H81" s="1">
        <v>42.405619999999999</v>
      </c>
      <c r="I81" s="1">
        <v>-99.544939999999997</v>
      </c>
      <c r="J81" s="1" t="s">
        <v>475</v>
      </c>
      <c r="K81" s="1" t="s">
        <v>436</v>
      </c>
      <c r="L81" s="1" t="s">
        <v>49</v>
      </c>
      <c r="M81" s="9">
        <v>1282563</v>
      </c>
      <c r="N81" s="1" t="s">
        <v>50</v>
      </c>
      <c r="O81" s="1" t="s">
        <v>476</v>
      </c>
      <c r="P81" s="1" t="s">
        <v>52</v>
      </c>
      <c r="Q81" s="1" t="s">
        <v>408</v>
      </c>
      <c r="R81" s="9">
        <v>10738</v>
      </c>
      <c r="S81" s="1" t="s">
        <v>54</v>
      </c>
      <c r="T81" s="1" t="s">
        <v>55</v>
      </c>
      <c r="U81" s="9">
        <v>110</v>
      </c>
      <c r="V81" s="9">
        <v>142</v>
      </c>
      <c r="W81" s="9">
        <v>214</v>
      </c>
      <c r="X81" s="9">
        <v>174</v>
      </c>
      <c r="Y81" s="9">
        <v>136</v>
      </c>
      <c r="Z81" s="9">
        <v>114</v>
      </c>
      <c r="AA81" s="9">
        <v>36</v>
      </c>
      <c r="AB81" s="9">
        <v>122</v>
      </c>
      <c r="AC81" s="9">
        <v>72</v>
      </c>
      <c r="AD81" s="9" t="s">
        <v>69</v>
      </c>
      <c r="AE81" s="9" t="s">
        <v>69</v>
      </c>
      <c r="AF81" s="9" t="s">
        <v>56</v>
      </c>
      <c r="AG81" s="2">
        <v>45889</v>
      </c>
      <c r="AH81" s="3">
        <v>0.4861111111111111</v>
      </c>
      <c r="AI81" s="3">
        <v>0.57291666666666663</v>
      </c>
      <c r="AJ81" s="10" t="s">
        <v>477</v>
      </c>
      <c r="AK81" s="8" t="s">
        <v>58</v>
      </c>
      <c r="AL81" s="5" t="s">
        <v>59</v>
      </c>
      <c r="AM81" s="5" t="s">
        <v>59</v>
      </c>
      <c r="AN81" s="5" t="s">
        <v>59</v>
      </c>
      <c r="AO81" s="14">
        <v>45955</v>
      </c>
      <c r="AP81" s="4" t="s">
        <v>61</v>
      </c>
    </row>
    <row r="82" spans="1:42">
      <c r="A82" s="1">
        <v>371</v>
      </c>
      <c r="B82" s="1" t="s">
        <v>478</v>
      </c>
      <c r="C82" s="1" t="s">
        <v>479</v>
      </c>
      <c r="D82" s="1" t="s">
        <v>480</v>
      </c>
      <c r="E82" s="1" t="s">
        <v>45</v>
      </c>
      <c r="F82" s="1">
        <v>68783</v>
      </c>
      <c r="G82" s="1" t="s">
        <v>481</v>
      </c>
      <c r="H82" s="1">
        <v>42.579369999999997</v>
      </c>
      <c r="I82" s="1">
        <v>-98.26397</v>
      </c>
      <c r="J82" s="1" t="s">
        <v>482</v>
      </c>
      <c r="K82" s="1" t="s">
        <v>436</v>
      </c>
      <c r="L82" s="1" t="s">
        <v>49</v>
      </c>
      <c r="M82" s="9">
        <v>1297464</v>
      </c>
      <c r="N82" s="1" t="s">
        <v>50</v>
      </c>
      <c r="O82" s="1" t="s">
        <v>94</v>
      </c>
      <c r="P82" s="1" t="s">
        <v>52</v>
      </c>
      <c r="Q82" s="1" t="s">
        <v>483</v>
      </c>
      <c r="R82" s="9">
        <v>120978927</v>
      </c>
      <c r="S82" s="1" t="s">
        <v>54</v>
      </c>
      <c r="T82" s="1" t="s">
        <v>55</v>
      </c>
      <c r="U82" s="9">
        <v>85</v>
      </c>
      <c r="V82" s="9">
        <v>159</v>
      </c>
      <c r="W82" s="9">
        <v>255</v>
      </c>
      <c r="X82" s="9">
        <v>99</v>
      </c>
      <c r="Y82" s="9">
        <v>241</v>
      </c>
      <c r="Z82" s="9">
        <v>173</v>
      </c>
      <c r="AA82" s="9">
        <v>55</v>
      </c>
      <c r="AB82" s="9">
        <v>32</v>
      </c>
      <c r="AC82" s="9">
        <v>45</v>
      </c>
      <c r="AD82" s="9" t="s">
        <v>69</v>
      </c>
      <c r="AE82" s="9" t="s">
        <v>69</v>
      </c>
      <c r="AF82" s="9" t="s">
        <v>472</v>
      </c>
      <c r="AG82" s="2">
        <v>45919</v>
      </c>
      <c r="AH82" s="3">
        <v>0.56319444444444444</v>
      </c>
      <c r="AI82" s="3">
        <v>0.63680555555555551</v>
      </c>
      <c r="AJ82" s="10" t="s">
        <v>57</v>
      </c>
      <c r="AK82" s="8" t="s">
        <v>58</v>
      </c>
      <c r="AL82" s="5" t="s">
        <v>59</v>
      </c>
      <c r="AM82" s="5" t="s">
        <v>59</v>
      </c>
      <c r="AN82" s="5" t="s">
        <v>59</v>
      </c>
      <c r="AO82" s="14">
        <v>45955</v>
      </c>
      <c r="AP82" s="4" t="s">
        <v>61</v>
      </c>
    </row>
    <row r="83" spans="1:42">
      <c r="A83" s="1">
        <v>412</v>
      </c>
      <c r="B83" s="1" t="s">
        <v>484</v>
      </c>
      <c r="C83" s="1" t="s">
        <v>485</v>
      </c>
      <c r="D83" s="1" t="s">
        <v>486</v>
      </c>
      <c r="E83" s="1" t="s">
        <v>45</v>
      </c>
      <c r="F83" s="1">
        <v>68763</v>
      </c>
      <c r="G83" s="1" t="s">
        <v>305</v>
      </c>
      <c r="H83" s="1">
        <v>42.481430000000003</v>
      </c>
      <c r="I83" s="1">
        <v>-98.813760000000002</v>
      </c>
      <c r="J83" s="1" t="s">
        <v>487</v>
      </c>
      <c r="K83" s="1" t="s">
        <v>436</v>
      </c>
      <c r="L83" s="1" t="s">
        <v>49</v>
      </c>
      <c r="M83" s="9">
        <v>1271893</v>
      </c>
      <c r="N83" s="1" t="s">
        <v>50</v>
      </c>
      <c r="O83" s="1" t="s">
        <v>75</v>
      </c>
      <c r="P83" s="1" t="s">
        <v>52</v>
      </c>
      <c r="Q83" s="1" t="s">
        <v>307</v>
      </c>
      <c r="R83" s="9">
        <v>93857916</v>
      </c>
      <c r="S83" s="1" t="s">
        <v>54</v>
      </c>
      <c r="T83" s="1" t="s">
        <v>55</v>
      </c>
      <c r="U83" s="9">
        <v>120</v>
      </c>
      <c r="V83" s="9">
        <v>166</v>
      </c>
      <c r="W83" s="9">
        <v>242</v>
      </c>
      <c r="X83" s="9">
        <v>106</v>
      </c>
      <c r="Y83" s="9">
        <v>252</v>
      </c>
      <c r="Z83" s="9">
        <v>104</v>
      </c>
      <c r="AA83" s="9">
        <v>64</v>
      </c>
      <c r="AB83" s="9">
        <v>60</v>
      </c>
      <c r="AC83" s="9">
        <v>84</v>
      </c>
      <c r="AD83" s="9" t="s">
        <v>69</v>
      </c>
      <c r="AE83" s="9" t="s">
        <v>69</v>
      </c>
      <c r="AF83" s="9" t="s">
        <v>56</v>
      </c>
      <c r="AG83" s="2">
        <v>45887</v>
      </c>
      <c r="AH83" s="3">
        <v>0.625</v>
      </c>
      <c r="AI83" s="3">
        <v>0.66666666666666663</v>
      </c>
      <c r="AJ83" s="10" t="s">
        <v>57</v>
      </c>
      <c r="AK83" s="8" t="s">
        <v>58</v>
      </c>
      <c r="AL83" s="5" t="s">
        <v>59</v>
      </c>
      <c r="AM83" s="5" t="s">
        <v>59</v>
      </c>
      <c r="AN83" s="5" t="s">
        <v>59</v>
      </c>
      <c r="AO83" s="14">
        <v>45949</v>
      </c>
      <c r="AP83" s="4" t="s">
        <v>61</v>
      </c>
    </row>
    <row r="84" spans="1:42">
      <c r="A84" s="1">
        <v>430</v>
      </c>
      <c r="B84" s="1" t="s">
        <v>488</v>
      </c>
      <c r="C84" s="1" t="s">
        <v>489</v>
      </c>
      <c r="D84" s="1" t="s">
        <v>490</v>
      </c>
      <c r="E84" s="1" t="s">
        <v>45</v>
      </c>
      <c r="F84" s="1">
        <v>68777</v>
      </c>
      <c r="G84" s="1" t="s">
        <v>491</v>
      </c>
      <c r="H84" s="1">
        <v>42.872691670000002</v>
      </c>
      <c r="I84" s="1">
        <v>-98.711961110000004</v>
      </c>
      <c r="J84" s="1" t="s">
        <v>492</v>
      </c>
      <c r="K84" s="1" t="s">
        <v>436</v>
      </c>
      <c r="L84" s="1" t="s">
        <v>49</v>
      </c>
      <c r="M84" s="9">
        <v>1266923</v>
      </c>
      <c r="N84" s="1" t="s">
        <v>50</v>
      </c>
      <c r="O84" s="1" t="s">
        <v>94</v>
      </c>
      <c r="P84" s="1" t="s">
        <v>52</v>
      </c>
      <c r="Q84" s="1" t="s">
        <v>493</v>
      </c>
      <c r="R84" s="9">
        <v>93858330</v>
      </c>
      <c r="S84" s="1" t="s">
        <v>213</v>
      </c>
      <c r="T84" s="1" t="s">
        <v>55</v>
      </c>
      <c r="U84" s="9">
        <v>100</v>
      </c>
      <c r="V84" s="9">
        <v>166</v>
      </c>
      <c r="W84" s="9">
        <v>200</v>
      </c>
      <c r="X84" s="9">
        <v>144</v>
      </c>
      <c r="Y84" s="9">
        <v>108</v>
      </c>
      <c r="Z84" s="9">
        <v>210</v>
      </c>
      <c r="AA84" s="9">
        <v>32</v>
      </c>
      <c r="AB84" s="9">
        <v>150</v>
      </c>
      <c r="AC84" s="9">
        <v>66</v>
      </c>
      <c r="AD84" s="9" t="s">
        <v>69</v>
      </c>
      <c r="AE84" s="9" t="s">
        <v>69</v>
      </c>
      <c r="AF84" s="9" t="s">
        <v>56</v>
      </c>
      <c r="AG84" s="2">
        <v>45888</v>
      </c>
      <c r="AH84" s="3">
        <v>0.51458333333333328</v>
      </c>
      <c r="AI84" s="3">
        <v>0.55555555555555558</v>
      </c>
      <c r="AJ84" s="10" t="s">
        <v>494</v>
      </c>
      <c r="AK84" s="8" t="s">
        <v>58</v>
      </c>
      <c r="AL84" s="5" t="s">
        <v>59</v>
      </c>
      <c r="AM84" s="5" t="s">
        <v>59</v>
      </c>
      <c r="AN84" s="5" t="s">
        <v>59</v>
      </c>
      <c r="AO84" s="14">
        <v>45949</v>
      </c>
      <c r="AP84" s="4" t="s">
        <v>61</v>
      </c>
    </row>
    <row r="85" spans="1:42" ht="21.6">
      <c r="A85" s="1">
        <v>451</v>
      </c>
      <c r="B85" s="1" t="s">
        <v>495</v>
      </c>
      <c r="C85" s="1" t="s">
        <v>496</v>
      </c>
      <c r="D85" s="1" t="s">
        <v>434</v>
      </c>
      <c r="E85" s="1" t="s">
        <v>45</v>
      </c>
      <c r="F85" s="1">
        <v>68789</v>
      </c>
      <c r="G85" s="1" t="s">
        <v>305</v>
      </c>
      <c r="H85" s="1">
        <v>42.62397</v>
      </c>
      <c r="I85" s="1">
        <v>-99.165999999999997</v>
      </c>
      <c r="J85" s="1" t="s">
        <v>497</v>
      </c>
      <c r="K85" s="1" t="s">
        <v>436</v>
      </c>
      <c r="L85" s="1" t="s">
        <v>49</v>
      </c>
      <c r="M85" s="9">
        <v>1260300</v>
      </c>
      <c r="N85" s="1" t="s">
        <v>50</v>
      </c>
      <c r="O85" s="1" t="s">
        <v>94</v>
      </c>
      <c r="P85" s="1" t="s">
        <v>52</v>
      </c>
      <c r="Q85" s="1" t="s">
        <v>307</v>
      </c>
      <c r="R85" s="9">
        <v>9385948</v>
      </c>
      <c r="S85" s="1" t="s">
        <v>54</v>
      </c>
      <c r="T85" s="1" t="s">
        <v>55</v>
      </c>
      <c r="U85" s="9">
        <v>106</v>
      </c>
      <c r="V85" s="9">
        <v>130</v>
      </c>
      <c r="W85" s="9">
        <v>202</v>
      </c>
      <c r="X85" s="9">
        <v>146</v>
      </c>
      <c r="Y85" s="9">
        <v>132</v>
      </c>
      <c r="Z85" s="9">
        <v>215</v>
      </c>
      <c r="AA85" s="9">
        <v>36</v>
      </c>
      <c r="AB85" s="9">
        <v>150</v>
      </c>
      <c r="AC85" s="9">
        <v>93</v>
      </c>
      <c r="AD85" s="9" t="s">
        <v>69</v>
      </c>
      <c r="AE85" s="9" t="s">
        <v>69</v>
      </c>
      <c r="AF85" s="9" t="s">
        <v>56</v>
      </c>
      <c r="AG85" s="2">
        <v>45889</v>
      </c>
      <c r="AH85" s="3">
        <v>0.375</v>
      </c>
      <c r="AI85" s="3">
        <v>0.41666666666666669</v>
      </c>
      <c r="AJ85" s="10" t="s">
        <v>498</v>
      </c>
      <c r="AK85" s="8" t="s">
        <v>58</v>
      </c>
      <c r="AL85" s="5" t="s">
        <v>59</v>
      </c>
      <c r="AM85" s="5" t="s">
        <v>59</v>
      </c>
      <c r="AN85" s="5" t="s">
        <v>59</v>
      </c>
      <c r="AO85" s="14">
        <v>45955</v>
      </c>
      <c r="AP85" s="4" t="s">
        <v>61</v>
      </c>
    </row>
    <row r="86" spans="1:42">
      <c r="A86" s="1">
        <v>454</v>
      </c>
      <c r="B86" s="1" t="s">
        <v>499</v>
      </c>
      <c r="C86" s="1" t="s">
        <v>500</v>
      </c>
      <c r="D86" s="1" t="s">
        <v>452</v>
      </c>
      <c r="E86" s="1" t="s">
        <v>45</v>
      </c>
      <c r="F86" s="1">
        <v>68763</v>
      </c>
      <c r="G86" s="1" t="s">
        <v>305</v>
      </c>
      <c r="H86" s="1">
        <v>42.683059999999998</v>
      </c>
      <c r="I86" s="1">
        <v>-98.666330000000002</v>
      </c>
      <c r="J86" s="1" t="s">
        <v>501</v>
      </c>
      <c r="K86" s="1" t="s">
        <v>436</v>
      </c>
      <c r="L86" s="1" t="s">
        <v>49</v>
      </c>
      <c r="M86" s="9">
        <v>1267048</v>
      </c>
      <c r="N86" s="1" t="s">
        <v>50</v>
      </c>
      <c r="O86" s="1" t="s">
        <v>94</v>
      </c>
      <c r="P86" s="1" t="s">
        <v>52</v>
      </c>
      <c r="Q86" s="1" t="s">
        <v>307</v>
      </c>
      <c r="R86" s="9">
        <v>93861669</v>
      </c>
      <c r="S86" s="1" t="s">
        <v>54</v>
      </c>
      <c r="T86" s="1" t="s">
        <v>55</v>
      </c>
      <c r="U86" s="9">
        <v>102</v>
      </c>
      <c r="V86" s="9">
        <v>158</v>
      </c>
      <c r="W86" s="9">
        <v>210</v>
      </c>
      <c r="X86" s="9">
        <v>142</v>
      </c>
      <c r="Y86" s="9">
        <v>150</v>
      </c>
      <c r="Z86" s="9">
        <v>224</v>
      </c>
      <c r="AA86" s="9">
        <v>40</v>
      </c>
      <c r="AB86" s="9">
        <v>142</v>
      </c>
      <c r="AC86" s="9">
        <v>91</v>
      </c>
      <c r="AD86" s="9" t="s">
        <v>69</v>
      </c>
      <c r="AE86" s="9" t="s">
        <v>69</v>
      </c>
      <c r="AF86" s="9" t="s">
        <v>56</v>
      </c>
      <c r="AG86" s="2">
        <v>45888</v>
      </c>
      <c r="AH86" s="3">
        <v>0.43055555555555558</v>
      </c>
      <c r="AI86" s="3">
        <v>0.47916666666666669</v>
      </c>
      <c r="AJ86" s="10" t="s">
        <v>57</v>
      </c>
      <c r="AK86" s="8" t="s">
        <v>58</v>
      </c>
      <c r="AL86" s="5" t="s">
        <v>59</v>
      </c>
      <c r="AM86" s="5" t="s">
        <v>59</v>
      </c>
      <c r="AN86" s="5" t="s">
        <v>59</v>
      </c>
      <c r="AO86" s="14">
        <v>45949</v>
      </c>
      <c r="AP86" s="4" t="s">
        <v>61</v>
      </c>
    </row>
    <row r="87" spans="1:42">
      <c r="A87" s="1">
        <v>466</v>
      </c>
      <c r="B87" s="1" t="s">
        <v>502</v>
      </c>
      <c r="C87" s="1" t="s">
        <v>503</v>
      </c>
      <c r="D87" s="1" t="s">
        <v>504</v>
      </c>
      <c r="E87" s="1" t="s">
        <v>45</v>
      </c>
      <c r="F87" s="1">
        <v>68783</v>
      </c>
      <c r="G87" s="1" t="s">
        <v>481</v>
      </c>
      <c r="H87" s="1">
        <v>42.606760000000001</v>
      </c>
      <c r="I87" s="1">
        <v>-98.04616</v>
      </c>
      <c r="J87" s="1" t="s">
        <v>505</v>
      </c>
      <c r="K87" s="1" t="s">
        <v>436</v>
      </c>
      <c r="L87" s="1" t="s">
        <v>49</v>
      </c>
      <c r="M87" s="9">
        <v>1268717</v>
      </c>
      <c r="N87" s="1" t="s">
        <v>50</v>
      </c>
      <c r="O87" s="1" t="s">
        <v>94</v>
      </c>
      <c r="P87" s="1" t="s">
        <v>52</v>
      </c>
      <c r="Q87" s="1" t="s">
        <v>483</v>
      </c>
      <c r="R87" s="9">
        <v>127981109</v>
      </c>
      <c r="S87" s="1" t="s">
        <v>54</v>
      </c>
      <c r="T87" s="1" t="s">
        <v>55</v>
      </c>
      <c r="U87" s="9">
        <v>85</v>
      </c>
      <c r="V87" s="9">
        <v>159</v>
      </c>
      <c r="W87" s="9">
        <v>262</v>
      </c>
      <c r="X87" s="9">
        <v>102</v>
      </c>
      <c r="Y87" s="9">
        <v>246</v>
      </c>
      <c r="Z87" s="9">
        <v>129</v>
      </c>
      <c r="AA87" s="9">
        <v>22</v>
      </c>
      <c r="AB87" s="9">
        <v>31</v>
      </c>
      <c r="AC87" s="9">
        <v>28</v>
      </c>
      <c r="AD87" s="9" t="s">
        <v>69</v>
      </c>
      <c r="AE87" s="9" t="s">
        <v>69</v>
      </c>
      <c r="AF87" s="9" t="s">
        <v>472</v>
      </c>
      <c r="AG87" s="2">
        <v>45919</v>
      </c>
      <c r="AH87" s="3">
        <v>0.47847222222222224</v>
      </c>
      <c r="AI87" s="3">
        <v>0.5541666666666667</v>
      </c>
      <c r="AJ87" s="10" t="s">
        <v>57</v>
      </c>
      <c r="AK87" s="8" t="s">
        <v>58</v>
      </c>
      <c r="AL87" s="5" t="s">
        <v>59</v>
      </c>
      <c r="AM87" s="5" t="s">
        <v>59</v>
      </c>
      <c r="AN87" s="5" t="s">
        <v>59</v>
      </c>
      <c r="AO87" s="14">
        <v>45955</v>
      </c>
      <c r="AP87" s="4" t="s">
        <v>61</v>
      </c>
    </row>
    <row r="88" spans="1:42">
      <c r="A88" s="1">
        <v>482</v>
      </c>
      <c r="B88" s="1" t="s">
        <v>506</v>
      </c>
      <c r="C88" s="1" t="s">
        <v>507</v>
      </c>
      <c r="D88" s="1" t="s">
        <v>508</v>
      </c>
      <c r="E88" s="1" t="s">
        <v>45</v>
      </c>
      <c r="F88" s="1">
        <v>68760</v>
      </c>
      <c r="G88" s="1" t="s">
        <v>481</v>
      </c>
      <c r="H88" s="1">
        <v>42.742800000000003</v>
      </c>
      <c r="I88" s="1">
        <v>-98.033180000000002</v>
      </c>
      <c r="J88" s="1" t="s">
        <v>509</v>
      </c>
      <c r="K88" s="1" t="s">
        <v>436</v>
      </c>
      <c r="L88" s="1" t="s">
        <v>49</v>
      </c>
      <c r="M88" s="9">
        <v>1268718</v>
      </c>
      <c r="N88" s="1" t="s">
        <v>50</v>
      </c>
      <c r="O88" s="1" t="s">
        <v>94</v>
      </c>
      <c r="P88" s="1" t="s">
        <v>52</v>
      </c>
      <c r="Q88" s="1" t="s">
        <v>483</v>
      </c>
      <c r="R88" s="9">
        <v>97664364</v>
      </c>
      <c r="S88" s="1" t="s">
        <v>54</v>
      </c>
      <c r="T88" s="1" t="s">
        <v>55</v>
      </c>
      <c r="U88" s="9">
        <v>90</v>
      </c>
      <c r="V88" s="9">
        <v>148</v>
      </c>
      <c r="W88" s="9">
        <v>262</v>
      </c>
      <c r="X88" s="9">
        <v>103</v>
      </c>
      <c r="Y88" s="9">
        <v>234</v>
      </c>
      <c r="Z88" s="9">
        <v>128</v>
      </c>
      <c r="AA88" s="9">
        <v>34</v>
      </c>
      <c r="AB88" s="9">
        <v>30</v>
      </c>
      <c r="AC88" s="9">
        <v>24</v>
      </c>
      <c r="AD88" s="9" t="s">
        <v>69</v>
      </c>
      <c r="AE88" s="9" t="s">
        <v>69</v>
      </c>
      <c r="AF88" s="9" t="s">
        <v>472</v>
      </c>
      <c r="AG88" s="2">
        <v>45918</v>
      </c>
      <c r="AH88" s="3">
        <v>0.33750000000000002</v>
      </c>
      <c r="AI88" s="3">
        <v>0.42499999999999999</v>
      </c>
      <c r="AJ88" s="10" t="s">
        <v>57</v>
      </c>
      <c r="AK88" s="8" t="s">
        <v>58</v>
      </c>
      <c r="AL88" s="5" t="s">
        <v>59</v>
      </c>
      <c r="AM88" s="5" t="s">
        <v>59</v>
      </c>
      <c r="AN88" s="5" t="s">
        <v>59</v>
      </c>
      <c r="AO88" s="14">
        <v>45949</v>
      </c>
      <c r="AP88" s="4" t="s">
        <v>61</v>
      </c>
    </row>
    <row r="89" spans="1:42" ht="21.6">
      <c r="A89" s="1">
        <v>489</v>
      </c>
      <c r="B89" s="1" t="s">
        <v>510</v>
      </c>
      <c r="C89" s="1" t="s">
        <v>511</v>
      </c>
      <c r="D89" s="1" t="s">
        <v>512</v>
      </c>
      <c r="E89" s="1" t="s">
        <v>45</v>
      </c>
      <c r="F89" s="1">
        <v>68727</v>
      </c>
      <c r="G89" s="1" t="s">
        <v>491</v>
      </c>
      <c r="H89" s="1">
        <v>42.912790000000001</v>
      </c>
      <c r="I89" s="1">
        <v>-98.971689999999995</v>
      </c>
      <c r="J89" s="1" t="s">
        <v>513</v>
      </c>
      <c r="K89" s="1" t="s">
        <v>436</v>
      </c>
      <c r="L89" s="1" t="s">
        <v>49</v>
      </c>
      <c r="M89" s="9">
        <v>1272619</v>
      </c>
      <c r="N89" s="1" t="s">
        <v>50</v>
      </c>
      <c r="O89" s="1" t="s">
        <v>75</v>
      </c>
      <c r="P89" s="1" t="s">
        <v>52</v>
      </c>
      <c r="Q89" s="1" t="s">
        <v>68</v>
      </c>
      <c r="R89" s="9">
        <v>93860500</v>
      </c>
      <c r="S89" s="1" t="s">
        <v>54</v>
      </c>
      <c r="T89" s="1" t="s">
        <v>55</v>
      </c>
      <c r="U89" s="9">
        <v>120</v>
      </c>
      <c r="V89" s="9">
        <v>158</v>
      </c>
      <c r="W89" s="9">
        <v>224</v>
      </c>
      <c r="X89" s="9">
        <v>96</v>
      </c>
      <c r="Y89" s="9">
        <v>254</v>
      </c>
      <c r="Z89" s="9">
        <v>102</v>
      </c>
      <c r="AA89" s="9">
        <v>70</v>
      </c>
      <c r="AB89" s="9">
        <v>30</v>
      </c>
      <c r="AC89" s="9">
        <v>74</v>
      </c>
      <c r="AD89" s="9" t="s">
        <v>69</v>
      </c>
      <c r="AE89" s="9" t="s">
        <v>69</v>
      </c>
      <c r="AF89" s="9" t="s">
        <v>56</v>
      </c>
      <c r="AG89" s="2">
        <v>45888</v>
      </c>
      <c r="AH89" s="3">
        <v>0.63888888888888884</v>
      </c>
      <c r="AI89" s="3">
        <v>0.68402777777777779</v>
      </c>
      <c r="AJ89" s="10" t="s">
        <v>514</v>
      </c>
      <c r="AK89" s="8" t="s">
        <v>58</v>
      </c>
      <c r="AL89" s="5" t="s">
        <v>59</v>
      </c>
      <c r="AM89" s="5" t="s">
        <v>59</v>
      </c>
      <c r="AN89" s="5" t="s">
        <v>59</v>
      </c>
      <c r="AO89" s="14">
        <v>45949</v>
      </c>
      <c r="AP89" s="4" t="s">
        <v>61</v>
      </c>
    </row>
    <row r="90" spans="1:42">
      <c r="A90" s="1">
        <v>490</v>
      </c>
      <c r="B90" s="1" t="s">
        <v>515</v>
      </c>
      <c r="C90" s="1" t="s">
        <v>516</v>
      </c>
      <c r="D90" s="1" t="s">
        <v>517</v>
      </c>
      <c r="E90" s="1" t="s">
        <v>45</v>
      </c>
      <c r="F90" s="1">
        <v>68760</v>
      </c>
      <c r="G90" s="1" t="s">
        <v>481</v>
      </c>
      <c r="H90" s="1">
        <v>42.814869999999999</v>
      </c>
      <c r="I90" s="1">
        <v>-98.191209999999998</v>
      </c>
      <c r="J90" s="1" t="s">
        <v>518</v>
      </c>
      <c r="K90" s="1" t="s">
        <v>436</v>
      </c>
      <c r="L90" s="1" t="s">
        <v>49</v>
      </c>
      <c r="M90" s="9">
        <v>1272325</v>
      </c>
      <c r="N90" s="1" t="s">
        <v>50</v>
      </c>
      <c r="O90" s="1" t="s">
        <v>94</v>
      </c>
      <c r="P90" s="1" t="s">
        <v>52</v>
      </c>
      <c r="Q90" s="1" t="s">
        <v>307</v>
      </c>
      <c r="R90" s="9">
        <v>93859746</v>
      </c>
      <c r="S90" s="1" t="s">
        <v>54</v>
      </c>
      <c r="T90" s="1" t="s">
        <v>55</v>
      </c>
      <c r="U90" s="9">
        <v>119</v>
      </c>
      <c r="V90" s="9">
        <v>166</v>
      </c>
      <c r="W90" s="9">
        <v>241</v>
      </c>
      <c r="X90" s="9">
        <v>93</v>
      </c>
      <c r="Y90" s="9">
        <v>208</v>
      </c>
      <c r="Z90" s="9">
        <v>106</v>
      </c>
      <c r="AA90" s="9">
        <v>42</v>
      </c>
      <c r="AB90" s="9">
        <v>33</v>
      </c>
      <c r="AC90" s="9">
        <v>25</v>
      </c>
      <c r="AD90" s="9" t="s">
        <v>69</v>
      </c>
      <c r="AE90" s="9" t="s">
        <v>69</v>
      </c>
      <c r="AF90" s="9" t="s">
        <v>472</v>
      </c>
      <c r="AG90" s="2">
        <v>45918</v>
      </c>
      <c r="AH90" s="3">
        <v>0.56388888888888888</v>
      </c>
      <c r="AI90" s="3">
        <v>0.65972222222222221</v>
      </c>
      <c r="AJ90" s="10" t="s">
        <v>57</v>
      </c>
      <c r="AK90" s="8" t="s">
        <v>58</v>
      </c>
      <c r="AL90" s="5" t="s">
        <v>59</v>
      </c>
      <c r="AM90" s="5" t="s">
        <v>59</v>
      </c>
      <c r="AN90" s="5" t="s">
        <v>59</v>
      </c>
      <c r="AO90" s="14">
        <v>45955</v>
      </c>
      <c r="AP90" s="4" t="s">
        <v>61</v>
      </c>
    </row>
    <row r="91" spans="1:42">
      <c r="A91" s="1">
        <v>491</v>
      </c>
      <c r="B91" s="1" t="s">
        <v>519</v>
      </c>
      <c r="C91" s="1" t="s">
        <v>520</v>
      </c>
      <c r="D91" s="1" t="s">
        <v>521</v>
      </c>
      <c r="E91" s="1" t="s">
        <v>45</v>
      </c>
      <c r="F91" s="1">
        <v>68759</v>
      </c>
      <c r="G91" s="1" t="s">
        <v>448</v>
      </c>
      <c r="H91" s="1">
        <v>42.963430000000002</v>
      </c>
      <c r="I91" s="1">
        <v>-99.2851</v>
      </c>
      <c r="J91" s="1" t="s">
        <v>522</v>
      </c>
      <c r="K91" s="1" t="s">
        <v>436</v>
      </c>
      <c r="L91" s="1" t="s">
        <v>49</v>
      </c>
      <c r="M91" s="9">
        <v>1272621</v>
      </c>
      <c r="N91" s="1" t="s">
        <v>50</v>
      </c>
      <c r="O91" s="1" t="s">
        <v>75</v>
      </c>
      <c r="P91" s="1" t="s">
        <v>52</v>
      </c>
      <c r="Q91" s="1" t="s">
        <v>523</v>
      </c>
      <c r="R91" s="9">
        <v>11747</v>
      </c>
      <c r="S91" s="1" t="s">
        <v>54</v>
      </c>
      <c r="T91" s="1" t="s">
        <v>55</v>
      </c>
      <c r="U91" s="9">
        <v>114</v>
      </c>
      <c r="V91" s="9">
        <v>178</v>
      </c>
      <c r="W91" s="9">
        <v>228</v>
      </c>
      <c r="X91" s="9">
        <v>101</v>
      </c>
      <c r="Y91" s="9">
        <v>279</v>
      </c>
      <c r="Z91" s="9">
        <v>92</v>
      </c>
      <c r="AA91" s="9">
        <v>70</v>
      </c>
      <c r="AB91" s="9">
        <v>30</v>
      </c>
      <c r="AC91" s="9">
        <v>72</v>
      </c>
      <c r="AD91" s="9" t="s">
        <v>69</v>
      </c>
      <c r="AE91" s="9" t="s">
        <v>69</v>
      </c>
      <c r="AF91" s="9" t="s">
        <v>56</v>
      </c>
      <c r="AG91" s="2">
        <v>45888</v>
      </c>
      <c r="AH91" s="3">
        <v>0.69444444444444442</v>
      </c>
      <c r="AI91" s="3">
        <v>0.7368055555555556</v>
      </c>
      <c r="AJ91" s="10" t="s">
        <v>57</v>
      </c>
      <c r="AK91" s="8" t="s">
        <v>58</v>
      </c>
      <c r="AL91" s="5" t="s">
        <v>59</v>
      </c>
      <c r="AM91" s="5" t="s">
        <v>59</v>
      </c>
      <c r="AN91" s="5" t="s">
        <v>59</v>
      </c>
      <c r="AO91" s="14">
        <v>45949</v>
      </c>
      <c r="AP91" s="4" t="s">
        <v>61</v>
      </c>
    </row>
    <row r="92" spans="1:42">
      <c r="A92" s="1">
        <v>492</v>
      </c>
      <c r="B92" s="1" t="s">
        <v>524</v>
      </c>
      <c r="C92" s="1" t="s">
        <v>525</v>
      </c>
      <c r="D92" s="1" t="s">
        <v>526</v>
      </c>
      <c r="E92" s="1" t="s">
        <v>45</v>
      </c>
      <c r="F92" s="1">
        <v>68746</v>
      </c>
      <c r="G92" s="1" t="s">
        <v>491</v>
      </c>
      <c r="H92" s="1">
        <v>42.818989999999999</v>
      </c>
      <c r="I92" s="1">
        <v>-98.446690000000004</v>
      </c>
      <c r="J92" s="1" t="s">
        <v>527</v>
      </c>
      <c r="K92" s="1" t="s">
        <v>436</v>
      </c>
      <c r="L92" s="1" t="s">
        <v>49</v>
      </c>
      <c r="M92" s="9">
        <v>1270970</v>
      </c>
      <c r="N92" s="1" t="s">
        <v>50</v>
      </c>
      <c r="O92" s="1" t="s">
        <v>94</v>
      </c>
      <c r="P92" s="1" t="s">
        <v>52</v>
      </c>
      <c r="Q92" s="1" t="s">
        <v>307</v>
      </c>
      <c r="R92" s="9">
        <v>93860887</v>
      </c>
      <c r="S92" s="1" t="s">
        <v>54</v>
      </c>
      <c r="T92" s="1" t="s">
        <v>55</v>
      </c>
      <c r="U92" s="9">
        <v>108</v>
      </c>
      <c r="V92" s="9">
        <v>238</v>
      </c>
      <c r="W92" s="9">
        <v>259</v>
      </c>
      <c r="X92" s="9">
        <v>152</v>
      </c>
      <c r="Y92" s="9">
        <v>138</v>
      </c>
      <c r="Z92" s="9">
        <v>186</v>
      </c>
      <c r="AA92" s="9">
        <v>84</v>
      </c>
      <c r="AB92" s="9">
        <v>200</v>
      </c>
      <c r="AC92" s="9">
        <v>72</v>
      </c>
      <c r="AD92" s="9" t="s">
        <v>69</v>
      </c>
      <c r="AE92" s="9" t="s">
        <v>69</v>
      </c>
      <c r="AF92" s="9" t="s">
        <v>472</v>
      </c>
      <c r="AG92" s="2">
        <v>45918</v>
      </c>
      <c r="AH92" s="3">
        <v>0.34722222222222221</v>
      </c>
      <c r="AI92" s="3">
        <v>0.40486111111111112</v>
      </c>
      <c r="AJ92" s="10" t="s">
        <v>57</v>
      </c>
      <c r="AK92" s="8" t="s">
        <v>58</v>
      </c>
      <c r="AL92" s="5" t="s">
        <v>59</v>
      </c>
      <c r="AM92" s="5" t="s">
        <v>59</v>
      </c>
      <c r="AN92" s="5" t="s">
        <v>59</v>
      </c>
      <c r="AO92" s="14">
        <v>45939</v>
      </c>
      <c r="AP92" s="4" t="s">
        <v>61</v>
      </c>
    </row>
    <row r="93" spans="1:42">
      <c r="A93" s="1">
        <v>799</v>
      </c>
      <c r="B93" s="1" t="s">
        <v>528</v>
      </c>
      <c r="C93" s="1" t="s">
        <v>529</v>
      </c>
      <c r="D93" s="1" t="s">
        <v>512</v>
      </c>
      <c r="E93" s="1" t="s">
        <v>45</v>
      </c>
      <c r="F93" s="1">
        <v>68722</v>
      </c>
      <c r="G93" s="1" t="s">
        <v>491</v>
      </c>
      <c r="H93" s="1">
        <v>42.915640000000003</v>
      </c>
      <c r="I93" s="1">
        <v>-98.850070000000002</v>
      </c>
      <c r="J93" s="1" t="s">
        <v>530</v>
      </c>
      <c r="K93" s="1" t="s">
        <v>436</v>
      </c>
      <c r="L93" s="1" t="s">
        <v>49</v>
      </c>
      <c r="M93" s="9">
        <v>1312722</v>
      </c>
      <c r="N93" s="1" t="s">
        <v>50</v>
      </c>
      <c r="O93" s="1" t="s">
        <v>51</v>
      </c>
      <c r="P93" s="1" t="s">
        <v>52</v>
      </c>
      <c r="Q93" s="1" t="s">
        <v>68</v>
      </c>
      <c r="R93" s="9">
        <v>154327826</v>
      </c>
      <c r="S93" s="1" t="s">
        <v>54</v>
      </c>
      <c r="T93" s="1" t="s">
        <v>55</v>
      </c>
      <c r="U93" s="9">
        <v>216</v>
      </c>
      <c r="V93" s="9">
        <v>170</v>
      </c>
      <c r="W93" s="9">
        <v>241</v>
      </c>
      <c r="X93" s="9">
        <v>96</v>
      </c>
      <c r="Y93" s="9">
        <v>266</v>
      </c>
      <c r="Z93" s="9">
        <v>82</v>
      </c>
      <c r="AA93" s="9">
        <v>32</v>
      </c>
      <c r="AB93" s="9">
        <v>30</v>
      </c>
      <c r="AC93" s="9">
        <v>79</v>
      </c>
      <c r="AD93" s="9" t="s">
        <v>69</v>
      </c>
      <c r="AE93" s="9" t="s">
        <v>69</v>
      </c>
      <c r="AF93" s="9" t="s">
        <v>56</v>
      </c>
      <c r="AG93" s="2">
        <v>45888</v>
      </c>
      <c r="AH93" s="3">
        <v>0.58333333333333337</v>
      </c>
      <c r="AI93" s="3">
        <v>0.62847222222222221</v>
      </c>
      <c r="AJ93" s="10" t="s">
        <v>57</v>
      </c>
      <c r="AK93" s="8" t="s">
        <v>58</v>
      </c>
      <c r="AL93" s="5" t="s">
        <v>59</v>
      </c>
      <c r="AM93" s="5" t="s">
        <v>59</v>
      </c>
      <c r="AN93" s="5" t="s">
        <v>59</v>
      </c>
      <c r="AO93" s="14">
        <v>45949</v>
      </c>
      <c r="AP93" s="4" t="s">
        <v>61</v>
      </c>
    </row>
    <row r="94" spans="1:42">
      <c r="A94" s="1">
        <v>917</v>
      </c>
      <c r="B94" s="1" t="s">
        <v>531</v>
      </c>
      <c r="C94" s="1" t="s">
        <v>532</v>
      </c>
      <c r="D94" s="1" t="s">
        <v>452</v>
      </c>
      <c r="E94" s="1" t="s">
        <v>45</v>
      </c>
      <c r="F94" s="1">
        <v>68763</v>
      </c>
      <c r="G94" s="1" t="s">
        <v>305</v>
      </c>
      <c r="H94" s="1">
        <v>42.461039999999997</v>
      </c>
      <c r="I94" s="1">
        <v>-98.650210000000001</v>
      </c>
      <c r="J94" s="1" t="s">
        <v>533</v>
      </c>
      <c r="K94" s="1" t="s">
        <v>436</v>
      </c>
      <c r="L94" s="1" t="s">
        <v>49</v>
      </c>
      <c r="M94" s="9" t="s">
        <v>299</v>
      </c>
      <c r="N94" s="1" t="s">
        <v>50</v>
      </c>
      <c r="O94" s="1" t="s">
        <v>153</v>
      </c>
      <c r="P94" s="1" t="s">
        <v>153</v>
      </c>
      <c r="Q94" s="1" t="s">
        <v>299</v>
      </c>
      <c r="R94" s="9" t="s">
        <v>299</v>
      </c>
      <c r="S94" s="1" t="s">
        <v>54</v>
      </c>
      <c r="T94" s="1" t="s">
        <v>55</v>
      </c>
      <c r="U94" s="9">
        <v>128</v>
      </c>
      <c r="V94" s="9">
        <v>36</v>
      </c>
      <c r="W94" s="9">
        <v>150</v>
      </c>
      <c r="X94" s="9">
        <v>96</v>
      </c>
      <c r="Y94" s="9">
        <v>130</v>
      </c>
      <c r="Z94" s="9">
        <v>650</v>
      </c>
      <c r="AA94" s="9">
        <v>20</v>
      </c>
      <c r="AB94" s="9">
        <v>90</v>
      </c>
      <c r="AC94" s="9" t="s">
        <v>69</v>
      </c>
      <c r="AD94" s="9" t="s">
        <v>69</v>
      </c>
      <c r="AE94" s="9" t="s">
        <v>69</v>
      </c>
      <c r="AF94" s="9" t="s">
        <v>353</v>
      </c>
      <c r="AG94" s="2">
        <v>45918</v>
      </c>
      <c r="AH94" s="3">
        <v>0.37152777777777779</v>
      </c>
      <c r="AI94" s="3">
        <v>0.41111111111111109</v>
      </c>
      <c r="AJ94" s="10" t="s">
        <v>178</v>
      </c>
      <c r="AK94" s="8" t="s">
        <v>69</v>
      </c>
      <c r="AL94" s="5" t="s">
        <v>59</v>
      </c>
      <c r="AM94" s="5" t="s">
        <v>59</v>
      </c>
      <c r="AN94" s="5" t="s">
        <v>59</v>
      </c>
      <c r="AO94" s="14">
        <v>45955</v>
      </c>
      <c r="AP94" s="4" t="s">
        <v>61</v>
      </c>
    </row>
    <row r="95" spans="1:42">
      <c r="A95" s="1">
        <v>985</v>
      </c>
      <c r="B95" s="1" t="s">
        <v>534</v>
      </c>
      <c r="C95" s="1" t="s">
        <v>535</v>
      </c>
      <c r="D95" s="1" t="s">
        <v>452</v>
      </c>
      <c r="E95" s="1" t="s">
        <v>45</v>
      </c>
      <c r="F95" s="1">
        <v>68763</v>
      </c>
      <c r="G95" s="1" t="s">
        <v>305</v>
      </c>
      <c r="H95" s="1">
        <v>42.474200000000003</v>
      </c>
      <c r="I95" s="1">
        <v>-98.656000000000006</v>
      </c>
      <c r="J95" s="1" t="s">
        <v>536</v>
      </c>
      <c r="K95" s="1" t="s">
        <v>436</v>
      </c>
      <c r="L95" s="1" t="s">
        <v>49</v>
      </c>
      <c r="M95" s="9">
        <v>1289943</v>
      </c>
      <c r="N95" s="1" t="s">
        <v>50</v>
      </c>
      <c r="O95" s="1" t="s">
        <v>51</v>
      </c>
      <c r="P95" s="1" t="s">
        <v>52</v>
      </c>
      <c r="Q95" s="1" t="s">
        <v>307</v>
      </c>
      <c r="R95" s="9">
        <v>146464609</v>
      </c>
      <c r="S95" s="1" t="s">
        <v>54</v>
      </c>
      <c r="T95" s="1" t="s">
        <v>55</v>
      </c>
      <c r="U95" s="9">
        <v>112</v>
      </c>
      <c r="V95" s="9">
        <v>186</v>
      </c>
      <c r="W95" s="9">
        <v>254</v>
      </c>
      <c r="X95" s="9">
        <v>96</v>
      </c>
      <c r="Y95" s="9">
        <v>222</v>
      </c>
      <c r="Z95" s="9">
        <v>78</v>
      </c>
      <c r="AA95" s="9">
        <v>82</v>
      </c>
      <c r="AB95" s="9">
        <v>30</v>
      </c>
      <c r="AC95" s="9">
        <v>80</v>
      </c>
      <c r="AD95" s="9" t="s">
        <v>69</v>
      </c>
      <c r="AE95" s="9" t="s">
        <v>69</v>
      </c>
      <c r="AF95" s="9" t="s">
        <v>56</v>
      </c>
      <c r="AG95" s="2">
        <v>45888</v>
      </c>
      <c r="AH95" s="3">
        <v>0.375</v>
      </c>
      <c r="AI95" s="3">
        <v>0.41666666666666669</v>
      </c>
      <c r="AJ95" s="10" t="s">
        <v>537</v>
      </c>
      <c r="AK95" s="8" t="s">
        <v>58</v>
      </c>
      <c r="AL95" s="5" t="s">
        <v>59</v>
      </c>
      <c r="AM95" s="5" t="s">
        <v>59</v>
      </c>
      <c r="AN95" s="5" t="s">
        <v>59</v>
      </c>
      <c r="AO95" s="14">
        <v>45949</v>
      </c>
      <c r="AP95" s="4" t="s">
        <v>61</v>
      </c>
    </row>
    <row r="96" spans="1:42">
      <c r="A96" s="1">
        <v>90</v>
      </c>
      <c r="B96" s="1" t="s">
        <v>538</v>
      </c>
      <c r="C96" s="1" t="s">
        <v>539</v>
      </c>
      <c r="D96" s="1" t="s">
        <v>540</v>
      </c>
      <c r="E96" s="1" t="s">
        <v>45</v>
      </c>
      <c r="F96" s="1">
        <v>69151</v>
      </c>
      <c r="G96" s="1" t="s">
        <v>541</v>
      </c>
      <c r="H96" s="1">
        <v>41.070974</v>
      </c>
      <c r="I96" s="1">
        <v>-100.525426</v>
      </c>
      <c r="J96" s="1" t="s">
        <v>542</v>
      </c>
      <c r="K96" s="1" t="s">
        <v>543</v>
      </c>
      <c r="L96" s="1" t="s">
        <v>49</v>
      </c>
      <c r="M96" s="9">
        <v>1299479</v>
      </c>
      <c r="N96" s="1" t="s">
        <v>544</v>
      </c>
      <c r="O96" s="1" t="s">
        <v>545</v>
      </c>
      <c r="P96" s="1" t="s">
        <v>52</v>
      </c>
      <c r="Q96" s="1" t="s">
        <v>212</v>
      </c>
      <c r="R96" s="9">
        <v>152476642</v>
      </c>
      <c r="S96" s="1" t="s">
        <v>54</v>
      </c>
      <c r="T96" s="1" t="s">
        <v>55</v>
      </c>
      <c r="U96" s="9">
        <v>88</v>
      </c>
      <c r="V96" s="9">
        <v>239</v>
      </c>
      <c r="W96" s="9">
        <v>226</v>
      </c>
      <c r="X96" s="9">
        <v>95</v>
      </c>
      <c r="Y96" s="9">
        <v>209</v>
      </c>
      <c r="Z96" s="9">
        <v>38</v>
      </c>
      <c r="AA96" s="9">
        <v>30</v>
      </c>
      <c r="AB96" s="9">
        <v>30</v>
      </c>
      <c r="AC96" s="9">
        <v>78</v>
      </c>
      <c r="AD96" s="9" t="s">
        <v>69</v>
      </c>
      <c r="AE96" s="9" t="s">
        <v>69</v>
      </c>
      <c r="AF96" s="9" t="s">
        <v>472</v>
      </c>
      <c r="AG96" s="2">
        <v>45922</v>
      </c>
      <c r="AH96" s="3">
        <v>0.65763888888888888</v>
      </c>
      <c r="AI96" s="3">
        <v>0.71180555555555558</v>
      </c>
      <c r="AJ96" s="10" t="s">
        <v>57</v>
      </c>
      <c r="AK96" s="8" t="s">
        <v>546</v>
      </c>
      <c r="AL96" s="5" t="s">
        <v>59</v>
      </c>
      <c r="AM96" s="5" t="s">
        <v>59</v>
      </c>
      <c r="AN96" s="5" t="s">
        <v>59</v>
      </c>
      <c r="AO96" s="14">
        <v>45935</v>
      </c>
      <c r="AP96" s="4" t="s">
        <v>61</v>
      </c>
    </row>
    <row r="97" spans="1:42">
      <c r="A97" s="1">
        <v>219</v>
      </c>
      <c r="B97" s="1" t="s">
        <v>547</v>
      </c>
      <c r="C97" s="1" t="s">
        <v>548</v>
      </c>
      <c r="D97" s="1" t="s">
        <v>549</v>
      </c>
      <c r="E97" s="1" t="s">
        <v>45</v>
      </c>
      <c r="F97" s="1">
        <v>69101</v>
      </c>
      <c r="G97" s="1" t="s">
        <v>541</v>
      </c>
      <c r="H97" s="1">
        <v>41.085000000000001</v>
      </c>
      <c r="I97" s="1">
        <v>-100.7581</v>
      </c>
      <c r="J97" s="1" t="s">
        <v>550</v>
      </c>
      <c r="K97" s="1" t="s">
        <v>543</v>
      </c>
      <c r="L97" s="1" t="s">
        <v>49</v>
      </c>
      <c r="M97" s="9">
        <v>1235616</v>
      </c>
      <c r="N97" s="1" t="s">
        <v>544</v>
      </c>
      <c r="O97" s="1" t="s">
        <v>551</v>
      </c>
      <c r="P97" s="1" t="s">
        <v>52</v>
      </c>
      <c r="Q97" s="1" t="s">
        <v>299</v>
      </c>
      <c r="R97" s="9" t="s">
        <v>299</v>
      </c>
      <c r="S97" s="1" t="s">
        <v>68</v>
      </c>
      <c r="T97" s="1" t="s">
        <v>68</v>
      </c>
      <c r="U97" s="9">
        <v>108</v>
      </c>
      <c r="V97" s="9">
        <v>24</v>
      </c>
      <c r="W97" s="9">
        <v>12</v>
      </c>
      <c r="X97" s="9">
        <v>27</v>
      </c>
      <c r="Y97" s="9">
        <v>27</v>
      </c>
      <c r="Z97" s="9">
        <v>64</v>
      </c>
      <c r="AA97" s="9">
        <v>144</v>
      </c>
      <c r="AB97" s="9">
        <v>30</v>
      </c>
      <c r="AC97" s="9" t="s">
        <v>69</v>
      </c>
      <c r="AD97" s="9" t="s">
        <v>69</v>
      </c>
      <c r="AE97" s="9" t="s">
        <v>69</v>
      </c>
      <c r="AF97" s="9" t="s">
        <v>472</v>
      </c>
      <c r="AG97" s="2">
        <v>45924</v>
      </c>
      <c r="AH97" s="3">
        <v>0.44027777777777777</v>
      </c>
      <c r="AI97" s="3">
        <v>0.46666666666666667</v>
      </c>
      <c r="AJ97" s="10" t="s">
        <v>57</v>
      </c>
      <c r="AK97" s="8" t="s">
        <v>552</v>
      </c>
      <c r="AL97" s="5" t="s">
        <v>59</v>
      </c>
      <c r="AM97" s="5" t="s">
        <v>59</v>
      </c>
      <c r="AN97" s="5" t="s">
        <v>59</v>
      </c>
      <c r="AO97" s="14">
        <v>45935</v>
      </c>
      <c r="AP97" s="4" t="s">
        <v>61</v>
      </c>
    </row>
    <row r="98" spans="1:42">
      <c r="A98" s="1">
        <v>220</v>
      </c>
      <c r="B98" s="1" t="s">
        <v>553</v>
      </c>
      <c r="C98" s="1" t="s">
        <v>554</v>
      </c>
      <c r="D98" s="1" t="s">
        <v>549</v>
      </c>
      <c r="E98" s="1" t="s">
        <v>45</v>
      </c>
      <c r="F98" s="1">
        <v>69101</v>
      </c>
      <c r="G98" s="1" t="s">
        <v>541</v>
      </c>
      <c r="H98" s="1">
        <v>41.141591699999999</v>
      </c>
      <c r="I98" s="1">
        <v>-100.81033600000001</v>
      </c>
      <c r="J98" s="1" t="s">
        <v>555</v>
      </c>
      <c r="K98" s="1" t="s">
        <v>543</v>
      </c>
      <c r="L98" s="1" t="s">
        <v>49</v>
      </c>
      <c r="M98" s="9">
        <v>1235610</v>
      </c>
      <c r="N98" s="1" t="s">
        <v>544</v>
      </c>
      <c r="O98" s="1" t="s">
        <v>556</v>
      </c>
      <c r="P98" s="1" t="s">
        <v>52</v>
      </c>
      <c r="Q98" s="1" t="s">
        <v>557</v>
      </c>
      <c r="R98" s="9">
        <v>61464250</v>
      </c>
      <c r="S98" s="1" t="s">
        <v>54</v>
      </c>
      <c r="T98" s="1" t="s">
        <v>55</v>
      </c>
      <c r="U98" s="9">
        <v>113</v>
      </c>
      <c r="V98" s="9">
        <v>24</v>
      </c>
      <c r="W98" s="9">
        <v>36</v>
      </c>
      <c r="X98" s="9">
        <v>25</v>
      </c>
      <c r="Y98" s="9">
        <v>25</v>
      </c>
      <c r="Z98" s="9">
        <v>74</v>
      </c>
      <c r="AA98" s="9">
        <v>14</v>
      </c>
      <c r="AB98" s="9">
        <v>24</v>
      </c>
      <c r="AC98" s="9">
        <v>50</v>
      </c>
      <c r="AD98" s="9" t="s">
        <v>69</v>
      </c>
      <c r="AE98" s="9" t="s">
        <v>69</v>
      </c>
      <c r="AF98" s="9" t="s">
        <v>472</v>
      </c>
      <c r="AG98" s="2">
        <v>45924</v>
      </c>
      <c r="AH98" s="3">
        <v>0.59861111111111109</v>
      </c>
      <c r="AI98" s="3">
        <v>0.64930555555555558</v>
      </c>
      <c r="AJ98" s="10" t="s">
        <v>57</v>
      </c>
      <c r="AK98" s="8" t="s">
        <v>552</v>
      </c>
      <c r="AL98" s="5" t="s">
        <v>59</v>
      </c>
      <c r="AM98" s="5" t="s">
        <v>59</v>
      </c>
      <c r="AN98" s="5" t="s">
        <v>59</v>
      </c>
      <c r="AO98" s="14">
        <v>45935</v>
      </c>
      <c r="AP98" s="4" t="s">
        <v>61</v>
      </c>
    </row>
    <row r="99" spans="1:42">
      <c r="A99" s="1">
        <v>223</v>
      </c>
      <c r="B99" s="1" t="s">
        <v>558</v>
      </c>
      <c r="C99" s="1" t="s">
        <v>559</v>
      </c>
      <c r="D99" s="1" t="s">
        <v>560</v>
      </c>
      <c r="E99" s="1" t="s">
        <v>45</v>
      </c>
      <c r="F99" s="1">
        <v>69165</v>
      </c>
      <c r="G99" s="1" t="s">
        <v>541</v>
      </c>
      <c r="H99" s="1">
        <v>41.128050000000002</v>
      </c>
      <c r="I99" s="1">
        <v>-101.1313</v>
      </c>
      <c r="J99" s="1" t="s">
        <v>561</v>
      </c>
      <c r="K99" s="1" t="s">
        <v>543</v>
      </c>
      <c r="L99" s="1" t="s">
        <v>49</v>
      </c>
      <c r="M99" s="9">
        <v>1030327</v>
      </c>
      <c r="N99" s="1" t="s">
        <v>544</v>
      </c>
      <c r="O99" s="1" t="s">
        <v>551</v>
      </c>
      <c r="P99" s="1" t="s">
        <v>52</v>
      </c>
      <c r="Q99" s="1" t="s">
        <v>177</v>
      </c>
      <c r="R99" s="9">
        <v>154327066</v>
      </c>
      <c r="S99" s="1" t="s">
        <v>54</v>
      </c>
      <c r="T99" s="1" t="s">
        <v>55</v>
      </c>
      <c r="U99" s="9">
        <v>590</v>
      </c>
      <c r="V99" s="9">
        <v>72</v>
      </c>
      <c r="W99" s="9">
        <v>108</v>
      </c>
      <c r="X99" s="9">
        <v>57</v>
      </c>
      <c r="Y99" s="9">
        <v>111</v>
      </c>
      <c r="Z99" s="9">
        <v>63</v>
      </c>
      <c r="AA99" s="9">
        <v>271</v>
      </c>
      <c r="AB99" s="9">
        <v>57</v>
      </c>
      <c r="AC99" s="9">
        <v>156</v>
      </c>
      <c r="AD99" s="9" t="s">
        <v>69</v>
      </c>
      <c r="AE99" s="9" t="s">
        <v>69</v>
      </c>
      <c r="AF99" s="9" t="s">
        <v>472</v>
      </c>
      <c r="AG99" s="2">
        <v>45925</v>
      </c>
      <c r="AH99" s="3">
        <v>0.53819444444444442</v>
      </c>
      <c r="AI99" s="3">
        <v>0.59722222222222221</v>
      </c>
      <c r="AJ99" s="10" t="s">
        <v>57</v>
      </c>
      <c r="AK99" s="8" t="s">
        <v>552</v>
      </c>
      <c r="AL99" s="5" t="s">
        <v>59</v>
      </c>
      <c r="AM99" s="5" t="s">
        <v>59</v>
      </c>
      <c r="AN99" s="5" t="s">
        <v>59</v>
      </c>
      <c r="AO99" s="14">
        <v>45935</v>
      </c>
      <c r="AP99" s="4" t="s">
        <v>61</v>
      </c>
    </row>
    <row r="100" spans="1:42">
      <c r="A100" s="1">
        <v>224</v>
      </c>
      <c r="B100" s="1" t="s">
        <v>562</v>
      </c>
      <c r="C100" s="1" t="s">
        <v>563</v>
      </c>
      <c r="D100" s="1" t="s">
        <v>540</v>
      </c>
      <c r="E100" s="1" t="s">
        <v>45</v>
      </c>
      <c r="F100" s="1">
        <v>69151</v>
      </c>
      <c r="G100" s="1" t="s">
        <v>541</v>
      </c>
      <c r="H100" s="1">
        <v>41.130839999999999</v>
      </c>
      <c r="I100" s="1">
        <v>-100.52043999999999</v>
      </c>
      <c r="J100" s="1" t="s">
        <v>564</v>
      </c>
      <c r="K100" s="1" t="s">
        <v>543</v>
      </c>
      <c r="L100" s="1" t="s">
        <v>49</v>
      </c>
      <c r="M100" s="9">
        <v>1311828</v>
      </c>
      <c r="N100" s="1" t="s">
        <v>544</v>
      </c>
      <c r="O100" s="1" t="s">
        <v>565</v>
      </c>
      <c r="P100" s="1" t="s">
        <v>52</v>
      </c>
      <c r="Q100" s="1" t="s">
        <v>358</v>
      </c>
      <c r="R100" s="9">
        <v>126967149</v>
      </c>
      <c r="S100" s="1" t="s">
        <v>54</v>
      </c>
      <c r="T100" s="1" t="s">
        <v>55</v>
      </c>
      <c r="U100" s="9">
        <v>473</v>
      </c>
      <c r="V100" s="9">
        <v>160</v>
      </c>
      <c r="W100" s="9">
        <v>226</v>
      </c>
      <c r="X100" s="9">
        <v>80</v>
      </c>
      <c r="Y100" s="9">
        <v>222</v>
      </c>
      <c r="Z100" s="9">
        <v>178</v>
      </c>
      <c r="AA100" s="9">
        <v>30</v>
      </c>
      <c r="AB100" s="9">
        <v>108</v>
      </c>
      <c r="AC100" s="9">
        <v>228</v>
      </c>
      <c r="AD100" s="9" t="s">
        <v>69</v>
      </c>
      <c r="AE100" s="9" t="s">
        <v>69</v>
      </c>
      <c r="AF100" s="9" t="s">
        <v>472</v>
      </c>
      <c r="AG100" s="2">
        <v>45923</v>
      </c>
      <c r="AH100" s="3">
        <v>0.33124999999999999</v>
      </c>
      <c r="AI100" s="3">
        <v>0.40902777777777777</v>
      </c>
      <c r="AJ100" s="10" t="s">
        <v>57</v>
      </c>
      <c r="AK100" s="8" t="s">
        <v>552</v>
      </c>
      <c r="AL100" s="5" t="s">
        <v>59</v>
      </c>
      <c r="AM100" s="5" t="s">
        <v>59</v>
      </c>
      <c r="AN100" s="5" t="s">
        <v>59</v>
      </c>
      <c r="AO100" s="14">
        <v>45933</v>
      </c>
      <c r="AP100" s="4" t="s">
        <v>61</v>
      </c>
    </row>
    <row r="101" spans="1:42">
      <c r="A101" s="1">
        <v>241</v>
      </c>
      <c r="B101" s="1" t="s">
        <v>566</v>
      </c>
      <c r="C101" s="1" t="s">
        <v>567</v>
      </c>
      <c r="D101" s="1" t="s">
        <v>568</v>
      </c>
      <c r="E101" s="1" t="s">
        <v>45</v>
      </c>
      <c r="F101" s="1">
        <v>69123</v>
      </c>
      <c r="G101" s="1" t="s">
        <v>541</v>
      </c>
      <c r="H101" s="1">
        <v>41.023029999999999</v>
      </c>
      <c r="I101" s="1">
        <v>-100.35763</v>
      </c>
      <c r="J101" s="1" t="s">
        <v>569</v>
      </c>
      <c r="K101" s="1" t="s">
        <v>543</v>
      </c>
      <c r="L101" s="1" t="s">
        <v>49</v>
      </c>
      <c r="M101" s="9">
        <v>1243748</v>
      </c>
      <c r="N101" s="1" t="s">
        <v>544</v>
      </c>
      <c r="O101" s="1" t="s">
        <v>570</v>
      </c>
      <c r="P101" s="1" t="s">
        <v>52</v>
      </c>
      <c r="Q101" s="1" t="s">
        <v>358</v>
      </c>
      <c r="R101" s="9">
        <v>121276965</v>
      </c>
      <c r="S101" s="1" t="s">
        <v>54</v>
      </c>
      <c r="T101" s="1" t="s">
        <v>55</v>
      </c>
      <c r="U101" s="9">
        <v>107</v>
      </c>
      <c r="V101" s="9">
        <v>208</v>
      </c>
      <c r="W101" s="9">
        <v>163</v>
      </c>
      <c r="X101" s="9">
        <v>93</v>
      </c>
      <c r="Y101" s="9">
        <v>172</v>
      </c>
      <c r="Z101" s="9">
        <v>85</v>
      </c>
      <c r="AA101" s="9">
        <v>24</v>
      </c>
      <c r="AB101" s="9">
        <v>83</v>
      </c>
      <c r="AC101" s="9">
        <v>96</v>
      </c>
      <c r="AD101" s="9" t="s">
        <v>69</v>
      </c>
      <c r="AE101" s="9" t="s">
        <v>69</v>
      </c>
      <c r="AF101" s="9" t="s">
        <v>472</v>
      </c>
      <c r="AG101" s="2">
        <v>45922</v>
      </c>
      <c r="AH101" s="3">
        <v>0.59791666666666665</v>
      </c>
      <c r="AI101" s="3">
        <v>0.67152777777777772</v>
      </c>
      <c r="AJ101" s="10" t="s">
        <v>57</v>
      </c>
      <c r="AK101" s="8" t="s">
        <v>552</v>
      </c>
      <c r="AL101" s="5" t="s">
        <v>59</v>
      </c>
      <c r="AM101" s="5" t="s">
        <v>59</v>
      </c>
      <c r="AN101" s="5" t="s">
        <v>59</v>
      </c>
      <c r="AO101" s="14">
        <v>45933</v>
      </c>
      <c r="AP101" s="4" t="s">
        <v>61</v>
      </c>
    </row>
    <row r="102" spans="1:42">
      <c r="A102" s="1">
        <v>243</v>
      </c>
      <c r="B102" s="1" t="s">
        <v>571</v>
      </c>
      <c r="C102" s="1" t="s">
        <v>572</v>
      </c>
      <c r="D102" s="1" t="s">
        <v>549</v>
      </c>
      <c r="E102" s="1" t="s">
        <v>45</v>
      </c>
      <c r="F102" s="1">
        <v>69103</v>
      </c>
      <c r="G102" s="1" t="s">
        <v>573</v>
      </c>
      <c r="H102" s="1">
        <v>41.122169999999997</v>
      </c>
      <c r="I102" s="1">
        <v>-100.77009</v>
      </c>
      <c r="J102" s="1" t="s">
        <v>574</v>
      </c>
      <c r="K102" s="1" t="s">
        <v>543</v>
      </c>
      <c r="L102" s="1" t="s">
        <v>49</v>
      </c>
      <c r="M102" s="9" t="s">
        <v>299</v>
      </c>
      <c r="N102" s="1" t="s">
        <v>544</v>
      </c>
      <c r="O102" s="1" t="s">
        <v>575</v>
      </c>
      <c r="P102" s="1" t="s">
        <v>153</v>
      </c>
      <c r="Q102" s="1" t="s">
        <v>299</v>
      </c>
      <c r="R102" s="9" t="s">
        <v>299</v>
      </c>
      <c r="S102" s="1" t="s">
        <v>54</v>
      </c>
      <c r="T102" s="1" t="s">
        <v>55</v>
      </c>
      <c r="U102" s="9">
        <v>360</v>
      </c>
      <c r="V102" s="9">
        <v>83</v>
      </c>
      <c r="W102" s="9">
        <v>76</v>
      </c>
      <c r="X102" s="9">
        <v>496</v>
      </c>
      <c r="Y102" s="9">
        <v>496</v>
      </c>
      <c r="Z102" s="9">
        <v>132</v>
      </c>
      <c r="AA102" s="9" t="s">
        <v>69</v>
      </c>
      <c r="AB102" s="9">
        <v>133</v>
      </c>
      <c r="AC102" s="9" t="s">
        <v>69</v>
      </c>
      <c r="AD102" s="9" t="s">
        <v>69</v>
      </c>
      <c r="AE102" s="9" t="s">
        <v>69</v>
      </c>
      <c r="AF102" s="9" t="s">
        <v>472</v>
      </c>
      <c r="AG102" s="2">
        <v>45924</v>
      </c>
      <c r="AH102" s="3">
        <v>0.37222222222222223</v>
      </c>
      <c r="AI102" s="3">
        <v>0.42916666666666664</v>
      </c>
      <c r="AJ102" s="10" t="s">
        <v>178</v>
      </c>
      <c r="AK102" s="8" t="s">
        <v>69</v>
      </c>
      <c r="AL102" s="5" t="s">
        <v>59</v>
      </c>
      <c r="AM102" s="5" t="s">
        <v>59</v>
      </c>
      <c r="AN102" s="5" t="s">
        <v>59</v>
      </c>
      <c r="AO102" s="14">
        <v>45935</v>
      </c>
      <c r="AP102" s="4" t="s">
        <v>61</v>
      </c>
    </row>
    <row r="103" spans="1:42">
      <c r="A103" s="1">
        <v>249</v>
      </c>
      <c r="B103" s="1" t="s">
        <v>576</v>
      </c>
      <c r="C103" s="1" t="s">
        <v>577</v>
      </c>
      <c r="D103" s="1" t="s">
        <v>549</v>
      </c>
      <c r="E103" s="1" t="s">
        <v>45</v>
      </c>
      <c r="F103" s="1">
        <v>69101</v>
      </c>
      <c r="G103" s="1" t="s">
        <v>541</v>
      </c>
      <c r="H103" s="1">
        <v>41.122889999999998</v>
      </c>
      <c r="I103" s="1">
        <v>-100.73524</v>
      </c>
      <c r="J103" s="1" t="s">
        <v>578</v>
      </c>
      <c r="K103" s="1" t="s">
        <v>543</v>
      </c>
      <c r="L103" s="1" t="s">
        <v>49</v>
      </c>
      <c r="M103" s="9">
        <v>1250486</v>
      </c>
      <c r="N103" s="1" t="s">
        <v>544</v>
      </c>
      <c r="O103" s="1" t="s">
        <v>551</v>
      </c>
      <c r="P103" s="1" t="s">
        <v>52</v>
      </c>
      <c r="Q103" s="1" t="s">
        <v>557</v>
      </c>
      <c r="R103" s="9">
        <v>336278148</v>
      </c>
      <c r="S103" s="1" t="s">
        <v>54</v>
      </c>
      <c r="T103" s="1" t="s">
        <v>55</v>
      </c>
      <c r="U103" s="9">
        <v>69</v>
      </c>
      <c r="V103" s="9">
        <v>160</v>
      </c>
      <c r="W103" s="9">
        <v>247</v>
      </c>
      <c r="X103" s="9">
        <v>87</v>
      </c>
      <c r="Y103" s="9">
        <v>206</v>
      </c>
      <c r="Z103" s="9">
        <v>30</v>
      </c>
      <c r="AA103" s="9">
        <v>29</v>
      </c>
      <c r="AB103" s="9">
        <v>29</v>
      </c>
      <c r="AC103" s="9">
        <v>125</v>
      </c>
      <c r="AD103" s="9" t="s">
        <v>69</v>
      </c>
      <c r="AE103" s="9" t="s">
        <v>69</v>
      </c>
      <c r="AF103" s="9" t="s">
        <v>472</v>
      </c>
      <c r="AG103" s="2">
        <v>45925</v>
      </c>
      <c r="AH103" s="3">
        <v>0.46458333333333335</v>
      </c>
      <c r="AI103" s="3">
        <v>0.5131944444444444</v>
      </c>
      <c r="AJ103" s="10" t="s">
        <v>57</v>
      </c>
      <c r="AK103" s="8" t="s">
        <v>552</v>
      </c>
      <c r="AL103" s="5" t="s">
        <v>59</v>
      </c>
      <c r="AM103" s="5" t="s">
        <v>59</v>
      </c>
      <c r="AN103" s="5" t="s">
        <v>59</v>
      </c>
      <c r="AO103" s="14">
        <v>45935</v>
      </c>
      <c r="AP103" s="4" t="s">
        <v>61</v>
      </c>
    </row>
    <row r="104" spans="1:42">
      <c r="A104" s="1">
        <v>335</v>
      </c>
      <c r="B104" s="1" t="s">
        <v>579</v>
      </c>
      <c r="C104" s="1" t="s">
        <v>580</v>
      </c>
      <c r="D104" s="1" t="s">
        <v>581</v>
      </c>
      <c r="E104" s="1" t="s">
        <v>45</v>
      </c>
      <c r="F104" s="1">
        <v>69143</v>
      </c>
      <c r="G104" s="1" t="s">
        <v>541</v>
      </c>
      <c r="H104" s="1">
        <v>41.156170000000003</v>
      </c>
      <c r="I104" s="1">
        <v>-100.98671</v>
      </c>
      <c r="J104" s="1" t="s">
        <v>582</v>
      </c>
      <c r="K104" s="1" t="s">
        <v>543</v>
      </c>
      <c r="L104" s="1" t="s">
        <v>49</v>
      </c>
      <c r="M104" s="9" t="s">
        <v>299</v>
      </c>
      <c r="N104" s="1" t="s">
        <v>544</v>
      </c>
      <c r="O104" s="1" t="s">
        <v>583</v>
      </c>
      <c r="P104" s="1" t="s">
        <v>52</v>
      </c>
      <c r="Q104" s="1" t="s">
        <v>358</v>
      </c>
      <c r="R104" s="9">
        <v>126959483</v>
      </c>
      <c r="S104" s="1" t="s">
        <v>54</v>
      </c>
      <c r="T104" s="1" t="s">
        <v>55</v>
      </c>
      <c r="U104" s="9">
        <v>62</v>
      </c>
      <c r="V104" s="9">
        <v>140</v>
      </c>
      <c r="W104" s="9">
        <v>175</v>
      </c>
      <c r="X104" s="9">
        <v>124</v>
      </c>
      <c r="Y104" s="9">
        <v>79</v>
      </c>
      <c r="Z104" s="9">
        <v>129</v>
      </c>
      <c r="AA104" s="9">
        <v>284</v>
      </c>
      <c r="AB104" s="9">
        <v>120</v>
      </c>
      <c r="AC104" s="9">
        <v>65</v>
      </c>
      <c r="AD104" s="9" t="s">
        <v>69</v>
      </c>
      <c r="AE104" s="9" t="s">
        <v>69</v>
      </c>
      <c r="AF104" s="9" t="s">
        <v>472</v>
      </c>
      <c r="AG104" s="2">
        <v>45923</v>
      </c>
      <c r="AH104" s="3">
        <v>0.47708333333333336</v>
      </c>
      <c r="AI104" s="3">
        <v>0.51944444444444449</v>
      </c>
      <c r="AJ104" s="10" t="s">
        <v>57</v>
      </c>
      <c r="AK104" s="8" t="s">
        <v>552</v>
      </c>
      <c r="AL104" s="5" t="s">
        <v>59</v>
      </c>
      <c r="AM104" s="5" t="s">
        <v>59</v>
      </c>
      <c r="AN104" s="5" t="s">
        <v>59</v>
      </c>
      <c r="AO104" s="14">
        <v>45933</v>
      </c>
      <c r="AP104" s="4" t="s">
        <v>61</v>
      </c>
    </row>
    <row r="105" spans="1:42">
      <c r="A105" s="1">
        <v>458</v>
      </c>
      <c r="B105" s="1" t="s">
        <v>584</v>
      </c>
      <c r="C105" s="1" t="s">
        <v>585</v>
      </c>
      <c r="D105" s="1" t="s">
        <v>586</v>
      </c>
      <c r="E105" s="1" t="s">
        <v>45</v>
      </c>
      <c r="F105" s="1">
        <v>69163</v>
      </c>
      <c r="G105" s="1" t="s">
        <v>541</v>
      </c>
      <c r="H105" s="1">
        <v>41.294939999999997</v>
      </c>
      <c r="I105" s="1">
        <v>-100.64269</v>
      </c>
      <c r="J105" s="1" t="s">
        <v>587</v>
      </c>
      <c r="K105" s="1" t="s">
        <v>543</v>
      </c>
      <c r="L105" s="1" t="s">
        <v>49</v>
      </c>
      <c r="M105" s="9">
        <v>1264610</v>
      </c>
      <c r="N105" s="1" t="s">
        <v>544</v>
      </c>
      <c r="O105" s="1" t="s">
        <v>588</v>
      </c>
      <c r="P105" s="1" t="s">
        <v>52</v>
      </c>
      <c r="Q105" s="1" t="s">
        <v>364</v>
      </c>
      <c r="R105" s="9">
        <v>337956456</v>
      </c>
      <c r="S105" s="1" t="s">
        <v>54</v>
      </c>
      <c r="T105" s="1" t="s">
        <v>55</v>
      </c>
      <c r="U105" s="9">
        <v>98</v>
      </c>
      <c r="V105" s="9">
        <v>225</v>
      </c>
      <c r="W105" s="9">
        <v>283</v>
      </c>
      <c r="X105" s="9">
        <v>142</v>
      </c>
      <c r="Y105" s="9">
        <v>144</v>
      </c>
      <c r="Z105" s="9">
        <v>137</v>
      </c>
      <c r="AA105" s="9">
        <v>38</v>
      </c>
      <c r="AB105" s="9">
        <v>131</v>
      </c>
      <c r="AC105" s="9">
        <v>68</v>
      </c>
      <c r="AD105" s="9" t="s">
        <v>69</v>
      </c>
      <c r="AE105" s="9" t="s">
        <v>69</v>
      </c>
      <c r="AF105" s="9" t="s">
        <v>472</v>
      </c>
      <c r="AG105" s="2">
        <v>45925</v>
      </c>
      <c r="AH105" s="3">
        <v>0.33611111111111114</v>
      </c>
      <c r="AI105" s="3">
        <v>0.39305555555555555</v>
      </c>
      <c r="AJ105" s="10" t="s">
        <v>57</v>
      </c>
      <c r="AK105" s="8" t="s">
        <v>552</v>
      </c>
      <c r="AL105" s="5" t="s">
        <v>59</v>
      </c>
      <c r="AM105" s="5" t="s">
        <v>59</v>
      </c>
      <c r="AN105" s="5" t="s">
        <v>59</v>
      </c>
      <c r="AO105" s="14">
        <v>45935</v>
      </c>
      <c r="AP105" s="4" t="s">
        <v>61</v>
      </c>
    </row>
    <row r="106" spans="1:42">
      <c r="A106" s="1">
        <v>698</v>
      </c>
      <c r="B106" s="1" t="s">
        <v>589</v>
      </c>
      <c r="C106" s="1" t="s">
        <v>590</v>
      </c>
      <c r="D106" s="1" t="s">
        <v>549</v>
      </c>
      <c r="E106" s="1" t="s">
        <v>45</v>
      </c>
      <c r="F106" s="1">
        <v>69101</v>
      </c>
      <c r="G106" s="1" t="s">
        <v>541</v>
      </c>
      <c r="H106" s="1">
        <v>41.145569999999999</v>
      </c>
      <c r="I106" s="1">
        <v>-100.78494000000001</v>
      </c>
      <c r="J106" s="1" t="s">
        <v>591</v>
      </c>
      <c r="K106" s="1" t="s">
        <v>543</v>
      </c>
      <c r="L106" s="1" t="s">
        <v>49</v>
      </c>
      <c r="M106" s="9">
        <v>1307736</v>
      </c>
      <c r="N106" s="1" t="s">
        <v>544</v>
      </c>
      <c r="O106" s="1" t="s">
        <v>437</v>
      </c>
      <c r="P106" s="1" t="s">
        <v>52</v>
      </c>
      <c r="Q106" s="1" t="s">
        <v>557</v>
      </c>
      <c r="R106" s="9">
        <v>333002273</v>
      </c>
      <c r="S106" s="1" t="s">
        <v>54</v>
      </c>
      <c r="T106" s="1" t="s">
        <v>55</v>
      </c>
      <c r="U106" s="9">
        <v>82</v>
      </c>
      <c r="V106" s="9">
        <v>167</v>
      </c>
      <c r="W106" s="9">
        <v>266</v>
      </c>
      <c r="X106" s="9">
        <v>111</v>
      </c>
      <c r="Y106" s="9">
        <v>239</v>
      </c>
      <c r="Z106" s="9">
        <v>90</v>
      </c>
      <c r="AA106" s="9">
        <v>38</v>
      </c>
      <c r="AB106" s="9">
        <v>82</v>
      </c>
      <c r="AC106" s="9">
        <v>88</v>
      </c>
      <c r="AD106" s="9" t="s">
        <v>69</v>
      </c>
      <c r="AE106" s="9" t="s">
        <v>69</v>
      </c>
      <c r="AF106" s="9" t="s">
        <v>472</v>
      </c>
      <c r="AG106" s="2">
        <v>45924</v>
      </c>
      <c r="AH106" s="3">
        <v>0.48819444444444443</v>
      </c>
      <c r="AI106" s="3">
        <v>0.53263888888888888</v>
      </c>
      <c r="AJ106" s="10" t="s">
        <v>57</v>
      </c>
      <c r="AK106" s="8" t="s">
        <v>552</v>
      </c>
      <c r="AL106" s="5" t="s">
        <v>59</v>
      </c>
      <c r="AM106" s="5" t="s">
        <v>59</v>
      </c>
      <c r="AN106" s="5" t="s">
        <v>59</v>
      </c>
      <c r="AO106" s="14">
        <v>45935</v>
      </c>
      <c r="AP106" s="4" t="s">
        <v>61</v>
      </c>
    </row>
    <row r="107" spans="1:42">
      <c r="A107" s="1">
        <v>722</v>
      </c>
      <c r="B107" s="1" t="s">
        <v>592</v>
      </c>
      <c r="C107" s="1" t="s">
        <v>593</v>
      </c>
      <c r="D107" s="1" t="s">
        <v>549</v>
      </c>
      <c r="E107" s="1" t="s">
        <v>45</v>
      </c>
      <c r="F107" s="1">
        <v>69101</v>
      </c>
      <c r="G107" s="1" t="s">
        <v>541</v>
      </c>
      <c r="H107" s="1">
        <v>41.161830000000002</v>
      </c>
      <c r="I107" s="1">
        <v>-100.79333</v>
      </c>
      <c r="J107" s="1" t="s">
        <v>594</v>
      </c>
      <c r="K107" s="1" t="s">
        <v>543</v>
      </c>
      <c r="L107" s="1" t="s">
        <v>49</v>
      </c>
      <c r="M107" s="9">
        <v>1314056</v>
      </c>
      <c r="N107" s="1" t="s">
        <v>544</v>
      </c>
      <c r="O107" s="1" t="s">
        <v>437</v>
      </c>
      <c r="P107" s="1" t="s">
        <v>52</v>
      </c>
      <c r="Q107" s="1" t="s">
        <v>557</v>
      </c>
      <c r="R107" s="9">
        <v>334020931</v>
      </c>
      <c r="S107" s="1" t="s">
        <v>54</v>
      </c>
      <c r="T107" s="1" t="s">
        <v>55</v>
      </c>
      <c r="U107" s="9">
        <v>82</v>
      </c>
      <c r="V107" s="9">
        <v>163</v>
      </c>
      <c r="W107" s="9">
        <v>274</v>
      </c>
      <c r="X107" s="9">
        <v>161</v>
      </c>
      <c r="Y107" s="9">
        <v>185</v>
      </c>
      <c r="Z107" s="9">
        <v>171</v>
      </c>
      <c r="AA107" s="9">
        <v>38</v>
      </c>
      <c r="AB107" s="9">
        <v>158</v>
      </c>
      <c r="AC107" s="9">
        <v>102</v>
      </c>
      <c r="AD107" s="9" t="s">
        <v>69</v>
      </c>
      <c r="AE107" s="9" t="s">
        <v>69</v>
      </c>
      <c r="AF107" s="9" t="s">
        <v>472</v>
      </c>
      <c r="AG107" s="2">
        <v>45924</v>
      </c>
      <c r="AH107" s="3">
        <v>0.54305555555555551</v>
      </c>
      <c r="AI107" s="3">
        <v>0.5854166666666667</v>
      </c>
      <c r="AJ107" s="10" t="s">
        <v>57</v>
      </c>
      <c r="AK107" s="8" t="s">
        <v>552</v>
      </c>
      <c r="AL107" s="5" t="s">
        <v>59</v>
      </c>
      <c r="AM107" s="5" t="s">
        <v>59</v>
      </c>
      <c r="AN107" s="5" t="s">
        <v>59</v>
      </c>
      <c r="AO107" s="14">
        <v>45935</v>
      </c>
      <c r="AP107" s="4" t="s">
        <v>61</v>
      </c>
    </row>
    <row r="108" spans="1:42">
      <c r="A108" s="1">
        <v>811</v>
      </c>
      <c r="B108" s="1" t="s">
        <v>595</v>
      </c>
      <c r="C108" s="1" t="s">
        <v>596</v>
      </c>
      <c r="D108" s="1" t="s">
        <v>549</v>
      </c>
      <c r="E108" s="1" t="s">
        <v>45</v>
      </c>
      <c r="F108" s="1">
        <v>69101</v>
      </c>
      <c r="G108" s="1" t="s">
        <v>541</v>
      </c>
      <c r="H108" s="1">
        <v>41.133209999999998</v>
      </c>
      <c r="I108" s="1">
        <v>-100.7784</v>
      </c>
      <c r="J108" s="1" t="s">
        <v>597</v>
      </c>
      <c r="K108" s="1" t="s">
        <v>543</v>
      </c>
      <c r="L108" s="1" t="s">
        <v>49</v>
      </c>
      <c r="M108" s="9" t="s">
        <v>299</v>
      </c>
      <c r="N108" s="1" t="s">
        <v>544</v>
      </c>
      <c r="O108" s="1" t="s">
        <v>443</v>
      </c>
      <c r="P108" s="1" t="s">
        <v>52</v>
      </c>
      <c r="Q108" s="1" t="s">
        <v>557</v>
      </c>
      <c r="R108" s="9">
        <v>334021008</v>
      </c>
      <c r="S108" s="1" t="s">
        <v>54</v>
      </c>
      <c r="T108" s="1" t="s">
        <v>55</v>
      </c>
      <c r="U108" s="9">
        <v>79</v>
      </c>
      <c r="V108" s="9">
        <v>81</v>
      </c>
      <c r="W108" s="9">
        <v>163</v>
      </c>
      <c r="X108" s="9">
        <v>143</v>
      </c>
      <c r="Y108" s="9">
        <v>201</v>
      </c>
      <c r="Z108" s="9">
        <v>199</v>
      </c>
      <c r="AA108" s="9">
        <v>48</v>
      </c>
      <c r="AB108" s="9">
        <v>189</v>
      </c>
      <c r="AC108" s="9" t="s">
        <v>69</v>
      </c>
      <c r="AD108" s="9" t="s">
        <v>69</v>
      </c>
      <c r="AE108" s="9" t="s">
        <v>69</v>
      </c>
      <c r="AF108" s="9" t="s">
        <v>472</v>
      </c>
      <c r="AG108" s="2">
        <v>45937</v>
      </c>
      <c r="AH108" s="3">
        <v>0.65763888888888888</v>
      </c>
      <c r="AI108" s="3">
        <v>0.70208333333333328</v>
      </c>
      <c r="AJ108" s="10" t="s">
        <v>598</v>
      </c>
      <c r="AK108" s="8" t="s">
        <v>599</v>
      </c>
      <c r="AL108" s="5" t="s">
        <v>59</v>
      </c>
      <c r="AM108" s="5" t="s">
        <v>59</v>
      </c>
      <c r="AN108" s="5" t="s">
        <v>59</v>
      </c>
      <c r="AO108" s="14">
        <v>45945</v>
      </c>
      <c r="AP108" s="4" t="s">
        <v>61</v>
      </c>
    </row>
    <row r="109" spans="1:42">
      <c r="A109" s="1">
        <v>887</v>
      </c>
      <c r="B109" s="1" t="s">
        <v>600</v>
      </c>
      <c r="C109" s="1" t="s">
        <v>601</v>
      </c>
      <c r="D109" s="1" t="s">
        <v>549</v>
      </c>
      <c r="E109" s="1" t="s">
        <v>45</v>
      </c>
      <c r="F109" s="1">
        <v>69101</v>
      </c>
      <c r="G109" s="1" t="s">
        <v>541</v>
      </c>
      <c r="H109" s="1">
        <v>41.134709999999998</v>
      </c>
      <c r="I109" s="1">
        <v>-100.74404</v>
      </c>
      <c r="J109" s="1" t="s">
        <v>602</v>
      </c>
      <c r="K109" s="1" t="s">
        <v>543</v>
      </c>
      <c r="L109" s="1" t="s">
        <v>49</v>
      </c>
      <c r="M109" s="9" t="s">
        <v>299</v>
      </c>
      <c r="N109" s="1" t="s">
        <v>544</v>
      </c>
      <c r="O109" s="1" t="s">
        <v>437</v>
      </c>
      <c r="P109" s="1" t="s">
        <v>52</v>
      </c>
      <c r="Q109" s="1" t="s">
        <v>299</v>
      </c>
      <c r="R109" s="9">
        <v>63882637</v>
      </c>
      <c r="S109" s="1" t="s">
        <v>54</v>
      </c>
      <c r="T109" s="1" t="s">
        <v>55</v>
      </c>
      <c r="U109" s="9">
        <v>80</v>
      </c>
      <c r="V109" s="9">
        <v>249</v>
      </c>
      <c r="W109" s="9">
        <v>239</v>
      </c>
      <c r="X109" s="9">
        <v>95</v>
      </c>
      <c r="Y109" s="9">
        <v>215</v>
      </c>
      <c r="Z109" s="9">
        <v>41</v>
      </c>
      <c r="AA109" s="9">
        <v>43</v>
      </c>
      <c r="AB109" s="9">
        <v>29</v>
      </c>
      <c r="AC109" s="9">
        <v>60</v>
      </c>
      <c r="AD109" s="9" t="s">
        <v>69</v>
      </c>
      <c r="AE109" s="9" t="s">
        <v>69</v>
      </c>
      <c r="AF109" s="9" t="s">
        <v>472</v>
      </c>
      <c r="AG109" s="2">
        <v>45925</v>
      </c>
      <c r="AH109" s="3">
        <v>0.4152777777777778</v>
      </c>
      <c r="AI109" s="3">
        <v>0.45624999999999999</v>
      </c>
      <c r="AJ109" s="10" t="s">
        <v>57</v>
      </c>
      <c r="AK109" s="8" t="s">
        <v>552</v>
      </c>
      <c r="AL109" s="5" t="s">
        <v>59</v>
      </c>
      <c r="AM109" s="5" t="s">
        <v>59</v>
      </c>
      <c r="AN109" s="5" t="s">
        <v>59</v>
      </c>
      <c r="AO109" s="14">
        <v>45935</v>
      </c>
      <c r="AP109" s="4" t="s">
        <v>61</v>
      </c>
    </row>
    <row r="110" spans="1:42">
      <c r="A110" s="1">
        <v>54</v>
      </c>
      <c r="B110" s="1" t="s">
        <v>603</v>
      </c>
      <c r="C110" s="1" t="s">
        <v>604</v>
      </c>
      <c r="D110" s="1" t="s">
        <v>605</v>
      </c>
      <c r="E110" s="1" t="s">
        <v>45</v>
      </c>
      <c r="F110" s="1">
        <v>68878</v>
      </c>
      <c r="G110" s="1" t="s">
        <v>606</v>
      </c>
      <c r="H110" s="1">
        <v>40.950589999999998</v>
      </c>
      <c r="I110" s="1">
        <v>-99.509029999999996</v>
      </c>
      <c r="J110" s="1" t="s">
        <v>607</v>
      </c>
      <c r="K110" s="1" t="s">
        <v>608</v>
      </c>
      <c r="L110" s="1" t="s">
        <v>49</v>
      </c>
      <c r="M110" s="9">
        <v>1297276</v>
      </c>
      <c r="N110" s="1" t="s">
        <v>50</v>
      </c>
      <c r="O110" s="1" t="s">
        <v>230</v>
      </c>
      <c r="P110" s="1" t="s">
        <v>52</v>
      </c>
      <c r="Q110" s="1" t="s">
        <v>358</v>
      </c>
      <c r="R110" s="9">
        <v>121273852</v>
      </c>
      <c r="S110" s="1" t="s">
        <v>54</v>
      </c>
      <c r="T110" s="1" t="s">
        <v>55</v>
      </c>
      <c r="U110" s="9">
        <v>79</v>
      </c>
      <c r="V110" s="9">
        <v>247</v>
      </c>
      <c r="W110" s="9">
        <v>343</v>
      </c>
      <c r="X110" s="9">
        <v>132</v>
      </c>
      <c r="Y110" s="9">
        <v>181</v>
      </c>
      <c r="Z110" s="9">
        <v>187</v>
      </c>
      <c r="AA110" s="9">
        <v>35</v>
      </c>
      <c r="AB110" s="9">
        <v>123</v>
      </c>
      <c r="AC110" s="9">
        <v>92</v>
      </c>
      <c r="AD110" s="9" t="s">
        <v>69</v>
      </c>
      <c r="AE110" s="9" t="s">
        <v>69</v>
      </c>
      <c r="AF110" s="9" t="s">
        <v>472</v>
      </c>
      <c r="AG110" s="2">
        <v>45931</v>
      </c>
      <c r="AH110" s="3">
        <v>0.37361111111111112</v>
      </c>
      <c r="AI110" s="3">
        <v>0.4201388888888889</v>
      </c>
      <c r="AJ110" s="10" t="s">
        <v>301</v>
      </c>
      <c r="AK110" s="8" t="s">
        <v>58</v>
      </c>
      <c r="AL110" s="5" t="s">
        <v>59</v>
      </c>
      <c r="AM110" s="5" t="s">
        <v>59</v>
      </c>
      <c r="AN110" s="5" t="s">
        <v>59</v>
      </c>
      <c r="AO110" s="14">
        <v>45936</v>
      </c>
      <c r="AP110" s="4" t="s">
        <v>61</v>
      </c>
    </row>
    <row r="111" spans="1:42">
      <c r="A111" s="1">
        <v>168</v>
      </c>
      <c r="B111" s="1" t="s">
        <v>609</v>
      </c>
      <c r="C111" s="1" t="s">
        <v>610</v>
      </c>
      <c r="D111" s="1" t="s">
        <v>611</v>
      </c>
      <c r="E111" s="1" t="s">
        <v>45</v>
      </c>
      <c r="F111" s="1">
        <v>68850</v>
      </c>
      <c r="G111" s="1" t="s">
        <v>606</v>
      </c>
      <c r="H111" s="1">
        <v>40.815019999999997</v>
      </c>
      <c r="I111" s="1">
        <v>-99.708699999999993</v>
      </c>
      <c r="J111" s="1" t="s">
        <v>612</v>
      </c>
      <c r="K111" s="1" t="s">
        <v>608</v>
      </c>
      <c r="L111" s="1" t="s">
        <v>49</v>
      </c>
      <c r="M111" s="9" t="s">
        <v>299</v>
      </c>
      <c r="N111" s="1" t="s">
        <v>50</v>
      </c>
      <c r="O111" s="1" t="s">
        <v>570</v>
      </c>
      <c r="P111" s="1" t="s">
        <v>52</v>
      </c>
      <c r="Q111" s="1" t="s">
        <v>358</v>
      </c>
      <c r="R111" s="9">
        <v>126865114</v>
      </c>
      <c r="S111" s="1" t="s">
        <v>54</v>
      </c>
      <c r="T111" s="1" t="s">
        <v>55</v>
      </c>
      <c r="U111" s="9">
        <v>104</v>
      </c>
      <c r="V111" s="9">
        <v>190</v>
      </c>
      <c r="W111" s="9">
        <v>256</v>
      </c>
      <c r="X111" s="9">
        <v>142</v>
      </c>
      <c r="Y111" s="9">
        <v>223</v>
      </c>
      <c r="Z111" s="9">
        <v>156</v>
      </c>
      <c r="AA111" s="9" t="s">
        <v>69</v>
      </c>
      <c r="AB111" s="9">
        <v>101</v>
      </c>
      <c r="AC111" s="9">
        <v>84</v>
      </c>
      <c r="AD111" s="9" t="s">
        <v>69</v>
      </c>
      <c r="AE111" s="9" t="s">
        <v>69</v>
      </c>
      <c r="AF111" s="9" t="s">
        <v>472</v>
      </c>
      <c r="AG111" s="2">
        <v>45930</v>
      </c>
      <c r="AH111" s="3">
        <v>0.50416666666666665</v>
      </c>
      <c r="AI111" s="3">
        <v>0.55138888888888893</v>
      </c>
      <c r="AJ111" s="10" t="s">
        <v>301</v>
      </c>
      <c r="AK111" s="8" t="s">
        <v>58</v>
      </c>
      <c r="AL111" s="5" t="s">
        <v>59</v>
      </c>
      <c r="AM111" s="5" t="s">
        <v>59</v>
      </c>
      <c r="AN111" s="5" t="s">
        <v>59</v>
      </c>
      <c r="AO111" s="14">
        <v>45936</v>
      </c>
      <c r="AP111" s="4" t="s">
        <v>61</v>
      </c>
    </row>
    <row r="112" spans="1:42">
      <c r="A112" s="1">
        <v>216</v>
      </c>
      <c r="B112" s="1" t="s">
        <v>613</v>
      </c>
      <c r="C112" s="1" t="s">
        <v>614</v>
      </c>
      <c r="D112" s="1" t="s">
        <v>611</v>
      </c>
      <c r="E112" s="1" t="s">
        <v>45</v>
      </c>
      <c r="F112" s="1">
        <v>68850</v>
      </c>
      <c r="G112" s="1" t="s">
        <v>606</v>
      </c>
      <c r="H112" s="1">
        <v>40.772500000000001</v>
      </c>
      <c r="I112" s="1">
        <v>-99.732060000000004</v>
      </c>
      <c r="J112" s="1" t="s">
        <v>615</v>
      </c>
      <c r="K112" s="1" t="s">
        <v>608</v>
      </c>
      <c r="L112" s="1" t="s">
        <v>49</v>
      </c>
      <c r="M112" s="9">
        <v>1224129</v>
      </c>
      <c r="N112" s="1" t="s">
        <v>50</v>
      </c>
      <c r="O112" s="1" t="s">
        <v>235</v>
      </c>
      <c r="P112" s="1" t="s">
        <v>52</v>
      </c>
      <c r="Q112" s="1" t="s">
        <v>616</v>
      </c>
      <c r="R112" s="9">
        <v>20003255</v>
      </c>
      <c r="S112" s="1" t="s">
        <v>54</v>
      </c>
      <c r="T112" s="1" t="s">
        <v>55</v>
      </c>
      <c r="U112" s="9">
        <v>94</v>
      </c>
      <c r="V112" s="9">
        <v>180</v>
      </c>
      <c r="W112" s="9">
        <v>139</v>
      </c>
      <c r="X112" s="9">
        <v>117</v>
      </c>
      <c r="Y112" s="9">
        <v>174</v>
      </c>
      <c r="Z112" s="9">
        <v>93</v>
      </c>
      <c r="AA112" s="9">
        <v>46</v>
      </c>
      <c r="AB112" s="9">
        <v>84</v>
      </c>
      <c r="AC112" s="9">
        <v>115</v>
      </c>
      <c r="AD112" s="9" t="s">
        <v>69</v>
      </c>
      <c r="AE112" s="9" t="s">
        <v>69</v>
      </c>
      <c r="AF112" s="9" t="s">
        <v>472</v>
      </c>
      <c r="AG112" s="2">
        <v>45930</v>
      </c>
      <c r="AH112" s="3">
        <v>0.61388888888888893</v>
      </c>
      <c r="AI112" s="3">
        <v>0.65763888888888888</v>
      </c>
      <c r="AJ112" s="10" t="s">
        <v>301</v>
      </c>
      <c r="AK112" s="8" t="s">
        <v>58</v>
      </c>
      <c r="AL112" s="5" t="s">
        <v>59</v>
      </c>
      <c r="AM112" s="5" t="s">
        <v>59</v>
      </c>
      <c r="AN112" s="5" t="s">
        <v>59</v>
      </c>
      <c r="AO112" s="14">
        <v>45936</v>
      </c>
      <c r="AP112" s="4" t="s">
        <v>61</v>
      </c>
    </row>
    <row r="113" spans="1:42">
      <c r="A113" s="1">
        <v>324</v>
      </c>
      <c r="B113" s="1" t="s">
        <v>617</v>
      </c>
      <c r="C113" s="1" t="s">
        <v>618</v>
      </c>
      <c r="D113" s="1" t="s">
        <v>619</v>
      </c>
      <c r="E113" s="1" t="s">
        <v>45</v>
      </c>
      <c r="F113" s="1">
        <v>68858</v>
      </c>
      <c r="G113" s="1" t="s">
        <v>620</v>
      </c>
      <c r="H113" s="1">
        <v>40.924579999999999</v>
      </c>
      <c r="I113" s="1">
        <v>-99.407399999999996</v>
      </c>
      <c r="J113" s="1" t="s">
        <v>621</v>
      </c>
      <c r="K113" s="1" t="s">
        <v>608</v>
      </c>
      <c r="L113" s="1" t="s">
        <v>49</v>
      </c>
      <c r="M113" s="9">
        <v>1279120</v>
      </c>
      <c r="N113" s="1" t="s">
        <v>50</v>
      </c>
      <c r="O113" s="1" t="s">
        <v>545</v>
      </c>
      <c r="P113" s="1" t="s">
        <v>52</v>
      </c>
      <c r="Q113" s="1" t="s">
        <v>358</v>
      </c>
      <c r="R113" s="9">
        <v>126963968</v>
      </c>
      <c r="S113" s="1" t="s">
        <v>54</v>
      </c>
      <c r="T113" s="1" t="s">
        <v>55</v>
      </c>
      <c r="U113" s="9">
        <v>83</v>
      </c>
      <c r="V113" s="9">
        <v>252</v>
      </c>
      <c r="W113" s="9">
        <v>241</v>
      </c>
      <c r="X113" s="9">
        <v>94</v>
      </c>
      <c r="Y113" s="9">
        <v>211</v>
      </c>
      <c r="Z113" s="9">
        <v>102</v>
      </c>
      <c r="AA113" s="9">
        <v>28</v>
      </c>
      <c r="AB113" s="9">
        <v>32</v>
      </c>
      <c r="AC113" s="9">
        <v>33</v>
      </c>
      <c r="AD113" s="9" t="s">
        <v>69</v>
      </c>
      <c r="AE113" s="9" t="s">
        <v>69</v>
      </c>
      <c r="AF113" s="9" t="s">
        <v>472</v>
      </c>
      <c r="AG113" s="2">
        <v>45931</v>
      </c>
      <c r="AH113" s="3">
        <v>0.43611111111111112</v>
      </c>
      <c r="AI113" s="3">
        <v>0.47986111111111113</v>
      </c>
      <c r="AJ113" s="10" t="s">
        <v>301</v>
      </c>
      <c r="AK113" s="8" t="s">
        <v>58</v>
      </c>
      <c r="AL113" s="5" t="s">
        <v>59</v>
      </c>
      <c r="AM113" s="5" t="s">
        <v>59</v>
      </c>
      <c r="AN113" s="5" t="s">
        <v>59</v>
      </c>
      <c r="AO113" s="14">
        <v>45936</v>
      </c>
      <c r="AP113" s="4" t="s">
        <v>61</v>
      </c>
    </row>
    <row r="114" spans="1:42">
      <c r="A114" s="1">
        <v>470</v>
      </c>
      <c r="B114" s="1" t="s">
        <v>622</v>
      </c>
      <c r="C114" s="1" t="s">
        <v>623</v>
      </c>
      <c r="D114" s="1" t="s">
        <v>624</v>
      </c>
      <c r="E114" s="1" t="s">
        <v>45</v>
      </c>
      <c r="F114" s="1">
        <v>68863</v>
      </c>
      <c r="G114" s="1" t="s">
        <v>606</v>
      </c>
      <c r="H114" s="1">
        <v>40.740670000000001</v>
      </c>
      <c r="I114" s="1">
        <v>-99.548689999999993</v>
      </c>
      <c r="J114" s="1" t="s">
        <v>625</v>
      </c>
      <c r="K114" s="1" t="s">
        <v>608</v>
      </c>
      <c r="L114" s="1" t="s">
        <v>49</v>
      </c>
      <c r="M114" s="9">
        <v>1261793</v>
      </c>
      <c r="N114" s="1" t="s">
        <v>50</v>
      </c>
      <c r="O114" s="1" t="s">
        <v>545</v>
      </c>
      <c r="P114" s="1" t="s">
        <v>52</v>
      </c>
      <c r="Q114" s="1" t="s">
        <v>358</v>
      </c>
      <c r="R114" s="9">
        <v>201681393</v>
      </c>
      <c r="S114" s="1" t="s">
        <v>54</v>
      </c>
      <c r="T114" s="1" t="s">
        <v>55</v>
      </c>
      <c r="U114" s="9">
        <v>75</v>
      </c>
      <c r="V114" s="9">
        <v>148</v>
      </c>
      <c r="W114" s="9">
        <v>215</v>
      </c>
      <c r="X114" s="9">
        <v>144</v>
      </c>
      <c r="Y114" s="9">
        <v>146</v>
      </c>
      <c r="Z114" s="9">
        <v>144</v>
      </c>
      <c r="AA114" s="9">
        <v>33</v>
      </c>
      <c r="AB114" s="9">
        <v>146</v>
      </c>
      <c r="AC114" s="9">
        <v>33</v>
      </c>
      <c r="AD114" s="9" t="s">
        <v>69</v>
      </c>
      <c r="AE114" s="9" t="s">
        <v>69</v>
      </c>
      <c r="AF114" s="9" t="s">
        <v>472</v>
      </c>
      <c r="AG114" s="2">
        <v>45921</v>
      </c>
      <c r="AH114" s="3">
        <v>0.36944444444444446</v>
      </c>
      <c r="AI114" s="3">
        <v>0.43402777777777779</v>
      </c>
      <c r="AJ114" s="10" t="s">
        <v>301</v>
      </c>
      <c r="AK114" s="8" t="s">
        <v>58</v>
      </c>
      <c r="AL114" s="5" t="s">
        <v>59</v>
      </c>
      <c r="AM114" s="5" t="s">
        <v>59</v>
      </c>
      <c r="AN114" s="5" t="s">
        <v>59</v>
      </c>
      <c r="AO114" s="14">
        <v>45936</v>
      </c>
      <c r="AP114" s="4" t="s">
        <v>61</v>
      </c>
    </row>
    <row r="115" spans="1:42">
      <c r="A115" s="1">
        <v>472</v>
      </c>
      <c r="B115" s="1" t="s">
        <v>626</v>
      </c>
      <c r="C115" s="1" t="s">
        <v>627</v>
      </c>
      <c r="D115" s="1" t="s">
        <v>611</v>
      </c>
      <c r="E115" s="1" t="s">
        <v>45</v>
      </c>
      <c r="F115" s="1">
        <v>68850</v>
      </c>
      <c r="G115" s="1" t="s">
        <v>606</v>
      </c>
      <c r="H115" s="1">
        <v>40.793940999999997</v>
      </c>
      <c r="I115" s="1">
        <v>-99.739934000000005</v>
      </c>
      <c r="J115" s="1" t="s">
        <v>628</v>
      </c>
      <c r="K115" s="1" t="s">
        <v>608</v>
      </c>
      <c r="L115" s="1" t="s">
        <v>49</v>
      </c>
      <c r="M115" s="9">
        <v>1266186</v>
      </c>
      <c r="N115" s="1" t="s">
        <v>50</v>
      </c>
      <c r="O115" s="1" t="s">
        <v>235</v>
      </c>
      <c r="P115" s="1" t="s">
        <v>52</v>
      </c>
      <c r="Q115" s="1" t="s">
        <v>616</v>
      </c>
      <c r="R115" s="9">
        <v>20000227</v>
      </c>
      <c r="S115" s="1" t="s">
        <v>54</v>
      </c>
      <c r="T115" s="1" t="s">
        <v>55</v>
      </c>
      <c r="U115" s="9">
        <v>91</v>
      </c>
      <c r="V115" s="9">
        <v>75</v>
      </c>
      <c r="W115" s="9">
        <v>104</v>
      </c>
      <c r="X115" s="9">
        <v>86</v>
      </c>
      <c r="Y115" s="9">
        <v>141</v>
      </c>
      <c r="Z115" s="9">
        <v>78</v>
      </c>
      <c r="AA115" s="9">
        <v>38</v>
      </c>
      <c r="AB115" s="9">
        <v>83</v>
      </c>
      <c r="AC115" s="9">
        <v>62</v>
      </c>
      <c r="AD115" s="9" t="s">
        <v>69</v>
      </c>
      <c r="AE115" s="9" t="s">
        <v>69</v>
      </c>
      <c r="AF115" s="9" t="s">
        <v>472</v>
      </c>
      <c r="AG115" s="2">
        <v>45930</v>
      </c>
      <c r="AH115" s="3">
        <v>0.44166666666666665</v>
      </c>
      <c r="AI115" s="3">
        <v>0.49166666666666664</v>
      </c>
      <c r="AJ115" s="10" t="s">
        <v>301</v>
      </c>
      <c r="AK115" s="8" t="s">
        <v>58</v>
      </c>
      <c r="AL115" s="5" t="s">
        <v>59</v>
      </c>
      <c r="AM115" s="5" t="s">
        <v>59</v>
      </c>
      <c r="AN115" s="5" t="s">
        <v>59</v>
      </c>
      <c r="AO115" s="14">
        <v>45936</v>
      </c>
      <c r="AP115" s="4" t="s">
        <v>61</v>
      </c>
    </row>
    <row r="116" spans="1:42">
      <c r="A116" s="1">
        <v>481</v>
      </c>
      <c r="B116" s="1" t="s">
        <v>629</v>
      </c>
      <c r="C116" s="1" t="s">
        <v>630</v>
      </c>
      <c r="D116" s="1" t="s">
        <v>611</v>
      </c>
      <c r="E116" s="1" t="s">
        <v>45</v>
      </c>
      <c r="F116" s="1">
        <v>68850</v>
      </c>
      <c r="G116" s="1" t="s">
        <v>606</v>
      </c>
      <c r="H116" s="1">
        <v>40.775689999999997</v>
      </c>
      <c r="I116" s="1">
        <v>-99.751419999999996</v>
      </c>
      <c r="J116" s="1" t="s">
        <v>631</v>
      </c>
      <c r="K116" s="1" t="s">
        <v>608</v>
      </c>
      <c r="L116" s="1" t="s">
        <v>49</v>
      </c>
      <c r="M116" s="9">
        <v>1276346</v>
      </c>
      <c r="N116" s="1" t="s">
        <v>50</v>
      </c>
      <c r="O116" s="1" t="s">
        <v>632</v>
      </c>
      <c r="P116" s="1" t="s">
        <v>52</v>
      </c>
      <c r="Q116" s="1" t="s">
        <v>358</v>
      </c>
      <c r="R116" s="9">
        <v>20002681</v>
      </c>
      <c r="S116" s="1" t="s">
        <v>54</v>
      </c>
      <c r="T116" s="1" t="s">
        <v>55</v>
      </c>
      <c r="U116" s="9">
        <v>114</v>
      </c>
      <c r="V116" s="9">
        <v>178</v>
      </c>
      <c r="W116" s="9">
        <v>154</v>
      </c>
      <c r="X116" s="9">
        <v>152</v>
      </c>
      <c r="Y116" s="9">
        <v>126</v>
      </c>
      <c r="Z116" s="9">
        <v>227</v>
      </c>
      <c r="AA116" s="9">
        <v>25</v>
      </c>
      <c r="AB116" s="9">
        <v>217</v>
      </c>
      <c r="AC116" s="9">
        <v>193</v>
      </c>
      <c r="AD116" s="9" t="s">
        <v>69</v>
      </c>
      <c r="AE116" s="9" t="s">
        <v>69</v>
      </c>
      <c r="AF116" s="9" t="s">
        <v>472</v>
      </c>
      <c r="AG116" s="2">
        <v>45930</v>
      </c>
      <c r="AH116" s="3">
        <v>0.56597222222222221</v>
      </c>
      <c r="AI116" s="3">
        <v>0.60069444444444442</v>
      </c>
      <c r="AJ116" s="10" t="s">
        <v>301</v>
      </c>
      <c r="AK116" s="8" t="s">
        <v>58</v>
      </c>
      <c r="AL116" s="5" t="s">
        <v>59</v>
      </c>
      <c r="AM116" s="5" t="s">
        <v>59</v>
      </c>
      <c r="AN116" s="5" t="s">
        <v>59</v>
      </c>
      <c r="AO116" s="14">
        <v>45936</v>
      </c>
      <c r="AP116" s="4" t="s">
        <v>61</v>
      </c>
    </row>
    <row r="117" spans="1:42">
      <c r="A117" s="1">
        <v>562</v>
      </c>
      <c r="B117" s="1" t="s">
        <v>633</v>
      </c>
      <c r="C117" s="1" t="s">
        <v>634</v>
      </c>
      <c r="D117" s="1" t="s">
        <v>635</v>
      </c>
      <c r="E117" s="1" t="s">
        <v>45</v>
      </c>
      <c r="F117" s="1">
        <v>69138</v>
      </c>
      <c r="G117" s="1" t="s">
        <v>606</v>
      </c>
      <c r="H117" s="1">
        <v>40.93533</v>
      </c>
      <c r="I117" s="1">
        <v>-100.17309</v>
      </c>
      <c r="J117" s="1" t="s">
        <v>636</v>
      </c>
      <c r="K117" s="1" t="s">
        <v>608</v>
      </c>
      <c r="L117" s="1" t="s">
        <v>49</v>
      </c>
      <c r="M117" s="9">
        <v>1289104</v>
      </c>
      <c r="N117" s="1" t="s">
        <v>50</v>
      </c>
      <c r="O117" s="1" t="s">
        <v>287</v>
      </c>
      <c r="P117" s="1" t="s">
        <v>52</v>
      </c>
      <c r="Q117" s="1" t="s">
        <v>358</v>
      </c>
      <c r="R117" s="9">
        <v>71860425</v>
      </c>
      <c r="S117" s="1" t="s">
        <v>54</v>
      </c>
      <c r="T117" s="1" t="s">
        <v>55</v>
      </c>
      <c r="U117" s="9">
        <v>85</v>
      </c>
      <c r="V117" s="9">
        <v>163</v>
      </c>
      <c r="W117" s="9">
        <v>231</v>
      </c>
      <c r="X117" s="9">
        <v>93</v>
      </c>
      <c r="Y117" s="9">
        <v>282</v>
      </c>
      <c r="Z117" s="9">
        <v>29</v>
      </c>
      <c r="AA117" s="9" t="s">
        <v>69</v>
      </c>
      <c r="AB117" s="9">
        <v>32</v>
      </c>
      <c r="AC117" s="9">
        <v>125</v>
      </c>
      <c r="AD117" s="9" t="s">
        <v>69</v>
      </c>
      <c r="AE117" s="9" t="s">
        <v>69</v>
      </c>
      <c r="AF117" s="9" t="s">
        <v>472</v>
      </c>
      <c r="AG117" s="2">
        <v>45930</v>
      </c>
      <c r="AH117" s="3">
        <v>0.34930555555555554</v>
      </c>
      <c r="AI117" s="3">
        <v>0.40138888888888891</v>
      </c>
      <c r="AJ117" s="10" t="s">
        <v>301</v>
      </c>
      <c r="AK117" s="8" t="s">
        <v>58</v>
      </c>
      <c r="AL117" s="5" t="s">
        <v>59</v>
      </c>
      <c r="AM117" s="5" t="s">
        <v>59</v>
      </c>
      <c r="AN117" s="5" t="s">
        <v>59</v>
      </c>
      <c r="AO117" s="14">
        <v>45933</v>
      </c>
      <c r="AP117" s="4" t="s">
        <v>61</v>
      </c>
    </row>
    <row r="118" spans="1:42">
      <c r="A118" s="1">
        <v>3</v>
      </c>
      <c r="B118" s="1" t="s">
        <v>637</v>
      </c>
      <c r="C118" s="1" t="s">
        <v>638</v>
      </c>
      <c r="D118" s="1" t="s">
        <v>639</v>
      </c>
      <c r="E118" s="1" t="s">
        <v>45</v>
      </c>
      <c r="F118" s="1">
        <v>69211</v>
      </c>
      <c r="G118" s="1" t="s">
        <v>640</v>
      </c>
      <c r="H118" s="1">
        <v>42.918579999999999</v>
      </c>
      <c r="I118" s="1">
        <v>-101.46889</v>
      </c>
      <c r="J118" s="1" t="s">
        <v>641</v>
      </c>
      <c r="K118" s="1" t="s">
        <v>642</v>
      </c>
      <c r="L118" s="1" t="s">
        <v>49</v>
      </c>
      <c r="M118" s="9">
        <v>1256826</v>
      </c>
      <c r="N118" s="1" t="s">
        <v>50</v>
      </c>
      <c r="O118" s="1" t="s">
        <v>94</v>
      </c>
      <c r="P118" s="1" t="s">
        <v>52</v>
      </c>
      <c r="Q118" s="1" t="s">
        <v>643</v>
      </c>
      <c r="R118" s="23" t="s">
        <v>644</v>
      </c>
      <c r="S118" s="1" t="s">
        <v>54</v>
      </c>
      <c r="T118" s="1" t="s">
        <v>55</v>
      </c>
      <c r="U118" s="9">
        <v>78</v>
      </c>
      <c r="V118" s="9">
        <v>260</v>
      </c>
      <c r="W118" s="9">
        <v>158</v>
      </c>
      <c r="X118" s="9">
        <v>85</v>
      </c>
      <c r="Y118" s="9">
        <v>200</v>
      </c>
      <c r="Z118" s="9">
        <v>60</v>
      </c>
      <c r="AA118" s="9">
        <v>54</v>
      </c>
      <c r="AB118" s="9">
        <v>60</v>
      </c>
      <c r="AC118" s="9">
        <v>84</v>
      </c>
      <c r="AD118" s="9" t="s">
        <v>69</v>
      </c>
      <c r="AE118" s="9">
        <v>4</v>
      </c>
      <c r="AF118" s="9" t="s">
        <v>236</v>
      </c>
      <c r="AG118" s="2">
        <v>45960</v>
      </c>
      <c r="AH118" s="3">
        <v>0.4597222222222222</v>
      </c>
      <c r="AI118" s="3">
        <v>0.48888888888888887</v>
      </c>
      <c r="AJ118" s="10" t="s">
        <v>301</v>
      </c>
      <c r="AK118" s="8" t="s">
        <v>645</v>
      </c>
      <c r="AL118" s="5" t="s">
        <v>59</v>
      </c>
      <c r="AM118" s="5" t="s">
        <v>59</v>
      </c>
      <c r="AN118" s="5" t="s">
        <v>59</v>
      </c>
      <c r="AO118" s="14">
        <v>45972</v>
      </c>
      <c r="AP118" s="4" t="s">
        <v>61</v>
      </c>
    </row>
    <row r="119" spans="1:42">
      <c r="A119" s="1">
        <v>72</v>
      </c>
      <c r="B119" s="1" t="s">
        <v>646</v>
      </c>
      <c r="C119" s="1" t="s">
        <v>647</v>
      </c>
      <c r="D119" s="1" t="s">
        <v>648</v>
      </c>
      <c r="E119" s="1" t="s">
        <v>45</v>
      </c>
      <c r="F119" s="1">
        <v>69221</v>
      </c>
      <c r="G119" s="1" t="s">
        <v>640</v>
      </c>
      <c r="H119" s="1">
        <v>42.731859999999998</v>
      </c>
      <c r="I119" s="1">
        <v>-100.37291999999999</v>
      </c>
      <c r="J119" s="1" t="s">
        <v>649</v>
      </c>
      <c r="K119" s="1" t="s">
        <v>642</v>
      </c>
      <c r="L119" s="1" t="s">
        <v>49</v>
      </c>
      <c r="M119" s="9">
        <v>1298709</v>
      </c>
      <c r="N119" s="1" t="s">
        <v>50</v>
      </c>
      <c r="O119" s="1" t="s">
        <v>75</v>
      </c>
      <c r="P119" s="1" t="s">
        <v>52</v>
      </c>
      <c r="Q119" s="1" t="s">
        <v>408</v>
      </c>
      <c r="R119" s="23">
        <v>14978</v>
      </c>
      <c r="S119" s="1" t="s">
        <v>54</v>
      </c>
      <c r="T119" s="1" t="s">
        <v>55</v>
      </c>
      <c r="U119" s="9">
        <v>81</v>
      </c>
      <c r="V119" s="9">
        <v>257</v>
      </c>
      <c r="W119" s="9">
        <v>258</v>
      </c>
      <c r="X119" s="9">
        <v>93</v>
      </c>
      <c r="Y119" s="9">
        <v>212</v>
      </c>
      <c r="Z119" s="9">
        <v>45</v>
      </c>
      <c r="AA119" s="9">
        <v>45</v>
      </c>
      <c r="AB119" s="9">
        <v>31</v>
      </c>
      <c r="AC119" s="9">
        <v>77</v>
      </c>
      <c r="AD119" s="9" t="s">
        <v>69</v>
      </c>
      <c r="AE119" s="9" t="s">
        <v>69</v>
      </c>
      <c r="AF119" s="9" t="s">
        <v>472</v>
      </c>
      <c r="AG119" s="2">
        <v>45961</v>
      </c>
      <c r="AH119" s="3">
        <v>0.47013888888888888</v>
      </c>
      <c r="AI119" s="3">
        <v>0.53333333333333333</v>
      </c>
      <c r="AJ119" s="10" t="s">
        <v>301</v>
      </c>
      <c r="AK119" s="8" t="s">
        <v>253</v>
      </c>
      <c r="AL119" s="5" t="s">
        <v>59</v>
      </c>
      <c r="AM119" s="5" t="s">
        <v>59</v>
      </c>
      <c r="AN119" s="5" t="s">
        <v>59</v>
      </c>
      <c r="AO119" s="14">
        <v>45967</v>
      </c>
      <c r="AP119" s="4" t="s">
        <v>61</v>
      </c>
    </row>
    <row r="120" spans="1:42">
      <c r="A120" s="1">
        <v>310</v>
      </c>
      <c r="B120" s="1" t="s">
        <v>650</v>
      </c>
      <c r="C120" s="1" t="s">
        <v>651</v>
      </c>
      <c r="D120" s="1" t="s">
        <v>652</v>
      </c>
      <c r="E120" s="1" t="s">
        <v>45</v>
      </c>
      <c r="F120" s="1">
        <v>69201</v>
      </c>
      <c r="G120" s="1" t="s">
        <v>640</v>
      </c>
      <c r="H120" s="1">
        <v>42.419240000000002</v>
      </c>
      <c r="I120" s="1">
        <v>-100.55229</v>
      </c>
      <c r="J120" s="1" t="s">
        <v>653</v>
      </c>
      <c r="K120" s="1" t="s">
        <v>642</v>
      </c>
      <c r="L120" s="1" t="s">
        <v>49</v>
      </c>
      <c r="M120" s="9">
        <v>1280038</v>
      </c>
      <c r="N120" s="1" t="s">
        <v>50</v>
      </c>
      <c r="O120" s="1" t="s">
        <v>75</v>
      </c>
      <c r="P120" s="1" t="s">
        <v>52</v>
      </c>
      <c r="Q120" s="1" t="s">
        <v>654</v>
      </c>
      <c r="R120" s="23">
        <v>10773</v>
      </c>
      <c r="S120" s="1" t="s">
        <v>54</v>
      </c>
      <c r="T120" s="1" t="s">
        <v>55</v>
      </c>
      <c r="U120" s="9">
        <v>84</v>
      </c>
      <c r="V120" s="9">
        <v>161</v>
      </c>
      <c r="W120" s="9">
        <v>212</v>
      </c>
      <c r="X120" s="9">
        <v>90</v>
      </c>
      <c r="Y120" s="9">
        <v>210</v>
      </c>
      <c r="Z120" s="9">
        <v>43</v>
      </c>
      <c r="AA120" s="9">
        <v>116</v>
      </c>
      <c r="AB120" s="9">
        <v>30</v>
      </c>
      <c r="AC120" s="9">
        <v>84</v>
      </c>
      <c r="AD120" s="9" t="s">
        <v>69</v>
      </c>
      <c r="AE120" s="9" t="s">
        <v>69</v>
      </c>
      <c r="AF120" s="9" t="s">
        <v>472</v>
      </c>
      <c r="AG120" s="2">
        <v>45960</v>
      </c>
      <c r="AH120" s="3">
        <v>0.66388888888888886</v>
      </c>
      <c r="AI120" s="3">
        <v>0.71180555555555558</v>
      </c>
      <c r="AJ120" s="10" t="s">
        <v>301</v>
      </c>
      <c r="AK120" s="8" t="s">
        <v>645</v>
      </c>
      <c r="AL120" s="5" t="s">
        <v>59</v>
      </c>
      <c r="AM120" s="5" t="s">
        <v>59</v>
      </c>
      <c r="AN120" s="5" t="s">
        <v>59</v>
      </c>
      <c r="AO120" s="14">
        <v>45964</v>
      </c>
      <c r="AP120" s="4" t="s">
        <v>61</v>
      </c>
    </row>
    <row r="121" spans="1:42">
      <c r="A121" s="1">
        <v>317</v>
      </c>
      <c r="B121" s="1" t="s">
        <v>655</v>
      </c>
      <c r="C121" s="1" t="s">
        <v>656</v>
      </c>
      <c r="D121" s="1" t="s">
        <v>648</v>
      </c>
      <c r="E121" s="1" t="s">
        <v>45</v>
      </c>
      <c r="F121" s="1">
        <v>69221</v>
      </c>
      <c r="G121" s="1" t="s">
        <v>640</v>
      </c>
      <c r="H121" s="1">
        <v>42.637605049999998</v>
      </c>
      <c r="I121" s="1">
        <v>-100.2386727</v>
      </c>
      <c r="J121" s="1" t="s">
        <v>657</v>
      </c>
      <c r="K121" s="1" t="s">
        <v>642</v>
      </c>
      <c r="L121" s="1" t="s">
        <v>49</v>
      </c>
      <c r="M121" s="9">
        <v>1274745</v>
      </c>
      <c r="N121" s="1" t="s">
        <v>50</v>
      </c>
      <c r="O121" s="1" t="s">
        <v>75</v>
      </c>
      <c r="P121" s="1" t="s">
        <v>52</v>
      </c>
      <c r="Q121" s="1" t="s">
        <v>408</v>
      </c>
      <c r="R121" s="23">
        <v>19313</v>
      </c>
      <c r="S121" s="1" t="s">
        <v>54</v>
      </c>
      <c r="T121" s="1" t="s">
        <v>55</v>
      </c>
      <c r="U121" s="9">
        <v>84</v>
      </c>
      <c r="V121" s="9">
        <v>140</v>
      </c>
      <c r="W121" s="9">
        <v>254</v>
      </c>
      <c r="X121" s="9">
        <v>93</v>
      </c>
      <c r="Y121" s="9">
        <v>212</v>
      </c>
      <c r="Z121" s="9">
        <v>46</v>
      </c>
      <c r="AA121" s="9">
        <v>44</v>
      </c>
      <c r="AB121" s="9">
        <v>30</v>
      </c>
      <c r="AC121" s="9">
        <v>61</v>
      </c>
      <c r="AD121" s="9" t="s">
        <v>69</v>
      </c>
      <c r="AE121" s="9" t="s">
        <v>69</v>
      </c>
      <c r="AF121" s="9" t="s">
        <v>472</v>
      </c>
      <c r="AG121" s="2">
        <v>45961</v>
      </c>
      <c r="AH121" s="3">
        <v>0.54722222222222228</v>
      </c>
      <c r="AI121" s="3">
        <v>0.59166666666666667</v>
      </c>
      <c r="AJ121" s="10" t="s">
        <v>301</v>
      </c>
      <c r="AK121" s="8" t="s">
        <v>253</v>
      </c>
      <c r="AL121" s="5" t="s">
        <v>59</v>
      </c>
      <c r="AM121" s="5" t="s">
        <v>59</v>
      </c>
      <c r="AN121" s="5" t="s">
        <v>59</v>
      </c>
      <c r="AO121" s="14">
        <v>45972</v>
      </c>
      <c r="AP121" s="4" t="s">
        <v>61</v>
      </c>
    </row>
    <row r="122" spans="1:42">
      <c r="A122" s="1">
        <v>415</v>
      </c>
      <c r="B122" s="1" t="s">
        <v>658</v>
      </c>
      <c r="C122" s="1" t="s">
        <v>659</v>
      </c>
      <c r="D122" s="1" t="s">
        <v>660</v>
      </c>
      <c r="E122" s="1" t="s">
        <v>45</v>
      </c>
      <c r="F122" s="1">
        <v>69211</v>
      </c>
      <c r="G122" s="1" t="s">
        <v>640</v>
      </c>
      <c r="H122" s="1">
        <v>42.929180000000002</v>
      </c>
      <c r="I122" s="1">
        <v>-101.16331</v>
      </c>
      <c r="J122" s="1" t="s">
        <v>661</v>
      </c>
      <c r="K122" s="1" t="s">
        <v>642</v>
      </c>
      <c r="L122" s="1" t="s">
        <v>49</v>
      </c>
      <c r="M122" s="9">
        <v>1256824</v>
      </c>
      <c r="N122" s="1" t="s">
        <v>50</v>
      </c>
      <c r="O122" s="1" t="s">
        <v>94</v>
      </c>
      <c r="P122" s="1" t="s">
        <v>52</v>
      </c>
      <c r="Q122" s="1" t="s">
        <v>662</v>
      </c>
      <c r="R122" s="23">
        <v>13072</v>
      </c>
      <c r="S122" s="1" t="s">
        <v>54</v>
      </c>
      <c r="T122" s="1" t="s">
        <v>55</v>
      </c>
      <c r="U122" s="9">
        <v>79</v>
      </c>
      <c r="V122" s="9">
        <v>252</v>
      </c>
      <c r="W122" s="9">
        <v>170</v>
      </c>
      <c r="X122" s="9">
        <v>79</v>
      </c>
      <c r="Y122" s="9">
        <v>210</v>
      </c>
      <c r="Z122" s="9">
        <v>76</v>
      </c>
      <c r="AA122" s="9">
        <v>36</v>
      </c>
      <c r="AB122" s="9">
        <v>24</v>
      </c>
      <c r="AC122" s="9">
        <v>72</v>
      </c>
      <c r="AD122" s="9" t="s">
        <v>69</v>
      </c>
      <c r="AE122" s="9">
        <v>4</v>
      </c>
      <c r="AF122" s="9" t="s">
        <v>236</v>
      </c>
      <c r="AG122" s="2">
        <v>45960</v>
      </c>
      <c r="AH122" s="3">
        <v>0.41041666666666665</v>
      </c>
      <c r="AI122" s="3">
        <v>0.44722222222222224</v>
      </c>
      <c r="AJ122" s="10" t="s">
        <v>301</v>
      </c>
      <c r="AK122" s="8" t="s">
        <v>645</v>
      </c>
      <c r="AL122" s="5" t="s">
        <v>59</v>
      </c>
      <c r="AM122" s="5" t="s">
        <v>59</v>
      </c>
      <c r="AN122" s="5" t="s">
        <v>59</v>
      </c>
      <c r="AO122" s="14">
        <v>45972</v>
      </c>
      <c r="AP122" s="4" t="s">
        <v>61</v>
      </c>
    </row>
    <row r="123" spans="1:42">
      <c r="A123" s="1">
        <v>479</v>
      </c>
      <c r="B123" s="1" t="s">
        <v>663</v>
      </c>
      <c r="C123" s="1" t="s">
        <v>664</v>
      </c>
      <c r="D123" s="1" t="s">
        <v>665</v>
      </c>
      <c r="E123" s="1" t="s">
        <v>45</v>
      </c>
      <c r="F123" s="1">
        <v>69166</v>
      </c>
      <c r="G123" s="1" t="s">
        <v>640</v>
      </c>
      <c r="H123" s="1">
        <v>42.227806000000001</v>
      </c>
      <c r="I123" s="1">
        <v>-100.535622</v>
      </c>
      <c r="J123" s="1" t="s">
        <v>666</v>
      </c>
      <c r="K123" s="1" t="s">
        <v>642</v>
      </c>
      <c r="L123" s="1" t="s">
        <v>49</v>
      </c>
      <c r="M123" s="9">
        <v>1273142</v>
      </c>
      <c r="N123" s="1" t="s">
        <v>50</v>
      </c>
      <c r="O123" s="1" t="s">
        <v>75</v>
      </c>
      <c r="P123" s="1" t="s">
        <v>52</v>
      </c>
      <c r="Q123" s="1" t="s">
        <v>667</v>
      </c>
      <c r="R123" s="23">
        <v>335043948</v>
      </c>
      <c r="S123" s="1" t="s">
        <v>54</v>
      </c>
      <c r="T123" s="1" t="s">
        <v>55</v>
      </c>
      <c r="U123" s="9">
        <v>92</v>
      </c>
      <c r="V123" s="9">
        <v>160</v>
      </c>
      <c r="W123" s="9">
        <v>233</v>
      </c>
      <c r="X123" s="9">
        <v>92</v>
      </c>
      <c r="Y123" s="9">
        <v>230</v>
      </c>
      <c r="Z123" s="9">
        <v>44</v>
      </c>
      <c r="AA123" s="9">
        <v>48</v>
      </c>
      <c r="AB123" s="9">
        <v>30</v>
      </c>
      <c r="AC123" s="9">
        <v>36</v>
      </c>
      <c r="AD123" s="9" t="s">
        <v>69</v>
      </c>
      <c r="AE123" s="9" t="s">
        <v>69</v>
      </c>
      <c r="AF123" s="9" t="s">
        <v>472</v>
      </c>
      <c r="AG123" s="2">
        <v>45960</v>
      </c>
      <c r="AH123" s="3">
        <v>0.59513888888888888</v>
      </c>
      <c r="AI123" s="3">
        <v>0.6430555555555556</v>
      </c>
      <c r="AJ123" s="10" t="s">
        <v>301</v>
      </c>
      <c r="AK123" s="8" t="s">
        <v>645</v>
      </c>
      <c r="AL123" s="5" t="s">
        <v>59</v>
      </c>
      <c r="AM123" s="5" t="s">
        <v>59</v>
      </c>
      <c r="AN123" s="5" t="s">
        <v>59</v>
      </c>
      <c r="AO123" s="14">
        <v>45964</v>
      </c>
      <c r="AP123" s="4" t="s">
        <v>61</v>
      </c>
    </row>
    <row r="124" spans="1:42">
      <c r="A124" s="1">
        <v>573</v>
      </c>
      <c r="B124" s="1" t="s">
        <v>668</v>
      </c>
      <c r="C124" s="1" t="s">
        <v>669</v>
      </c>
      <c r="D124" s="1" t="s">
        <v>652</v>
      </c>
      <c r="E124" s="1" t="s">
        <v>45</v>
      </c>
      <c r="F124" s="1">
        <v>69201</v>
      </c>
      <c r="G124" s="1" t="s">
        <v>640</v>
      </c>
      <c r="H124" s="1">
        <v>42.811169999999997</v>
      </c>
      <c r="I124" s="1">
        <v>-100.64561999999999</v>
      </c>
      <c r="J124" s="1" t="s">
        <v>670</v>
      </c>
      <c r="K124" s="1" t="s">
        <v>642</v>
      </c>
      <c r="L124" s="1" t="s">
        <v>49</v>
      </c>
      <c r="M124" s="9">
        <v>1312718</v>
      </c>
      <c r="N124" s="1" t="s">
        <v>50</v>
      </c>
      <c r="O124" s="1" t="s">
        <v>75</v>
      </c>
      <c r="P124" s="1" t="s">
        <v>52</v>
      </c>
      <c r="Q124" s="1" t="s">
        <v>408</v>
      </c>
      <c r="R124" s="23">
        <v>13534</v>
      </c>
      <c r="S124" s="1" t="s">
        <v>54</v>
      </c>
      <c r="T124" s="1" t="s">
        <v>55</v>
      </c>
      <c r="U124" s="9">
        <v>85</v>
      </c>
      <c r="V124" s="9">
        <v>163</v>
      </c>
      <c r="W124" s="9">
        <v>257</v>
      </c>
      <c r="X124" s="9">
        <v>93</v>
      </c>
      <c r="Y124" s="9">
        <v>212</v>
      </c>
      <c r="Z124" s="9">
        <v>68</v>
      </c>
      <c r="AA124" s="9">
        <v>47</v>
      </c>
      <c r="AB124" s="9">
        <v>31</v>
      </c>
      <c r="AC124" s="9">
        <v>62</v>
      </c>
      <c r="AD124" s="9" t="s">
        <v>69</v>
      </c>
      <c r="AE124" s="9" t="s">
        <v>69</v>
      </c>
      <c r="AF124" s="9" t="s">
        <v>472</v>
      </c>
      <c r="AG124" s="2">
        <v>45960</v>
      </c>
      <c r="AH124" s="3">
        <v>0.375</v>
      </c>
      <c r="AI124" s="3">
        <v>0.43472222222222223</v>
      </c>
      <c r="AJ124" s="10" t="s">
        <v>301</v>
      </c>
      <c r="AK124" s="8" t="s">
        <v>69</v>
      </c>
      <c r="AL124" s="5" t="s">
        <v>59</v>
      </c>
      <c r="AM124" s="5" t="s">
        <v>59</v>
      </c>
      <c r="AN124" s="5" t="s">
        <v>59</v>
      </c>
      <c r="AO124" s="14">
        <v>45972</v>
      </c>
      <c r="AP124" s="4" t="s">
        <v>61</v>
      </c>
    </row>
    <row r="125" spans="1:42">
      <c r="A125" s="1">
        <v>605</v>
      </c>
      <c r="B125" s="1" t="s">
        <v>671</v>
      </c>
      <c r="C125" s="1" t="s">
        <v>672</v>
      </c>
      <c r="D125" s="1" t="s">
        <v>673</v>
      </c>
      <c r="E125" s="1" t="s">
        <v>45</v>
      </c>
      <c r="F125" s="1">
        <v>69350</v>
      </c>
      <c r="G125" s="1" t="s">
        <v>640</v>
      </c>
      <c r="H125" s="1">
        <v>42.307250000000003</v>
      </c>
      <c r="I125" s="1">
        <v>-101.66768999999999</v>
      </c>
      <c r="J125" s="1" t="s">
        <v>674</v>
      </c>
      <c r="K125" s="1" t="s">
        <v>642</v>
      </c>
      <c r="L125" s="1" t="s">
        <v>49</v>
      </c>
      <c r="M125" s="9">
        <v>1222428</v>
      </c>
      <c r="N125" s="1" t="s">
        <v>50</v>
      </c>
      <c r="O125" s="1" t="s">
        <v>94</v>
      </c>
      <c r="P125" s="1" t="s">
        <v>52</v>
      </c>
      <c r="Q125" s="1" t="s">
        <v>675</v>
      </c>
      <c r="R125" s="23" t="s">
        <v>676</v>
      </c>
      <c r="S125" s="1" t="s">
        <v>54</v>
      </c>
      <c r="T125" s="1" t="s">
        <v>55</v>
      </c>
      <c r="U125" s="9">
        <v>108</v>
      </c>
      <c r="V125" s="9">
        <v>156</v>
      </c>
      <c r="W125" s="9">
        <v>252</v>
      </c>
      <c r="X125" s="9">
        <v>186</v>
      </c>
      <c r="Y125" s="9">
        <v>168</v>
      </c>
      <c r="Z125" s="9" t="s">
        <v>677</v>
      </c>
      <c r="AA125" s="9" t="s">
        <v>677</v>
      </c>
      <c r="AB125" s="9">
        <v>24</v>
      </c>
      <c r="AC125" s="9">
        <v>84</v>
      </c>
      <c r="AD125" s="9" t="s">
        <v>677</v>
      </c>
      <c r="AE125" s="9">
        <v>4</v>
      </c>
      <c r="AF125" s="9" t="s">
        <v>236</v>
      </c>
      <c r="AG125" s="2">
        <v>45959</v>
      </c>
      <c r="AH125" s="3">
        <v>0.56736111111111109</v>
      </c>
      <c r="AI125" s="3">
        <v>0.63124999999999998</v>
      </c>
      <c r="AJ125" s="10" t="s">
        <v>301</v>
      </c>
      <c r="AK125" s="8" t="s">
        <v>645</v>
      </c>
      <c r="AL125" s="5" t="s">
        <v>59</v>
      </c>
      <c r="AM125" s="5" t="s">
        <v>59</v>
      </c>
      <c r="AN125" s="5" t="s">
        <v>59</v>
      </c>
      <c r="AO125" s="14">
        <v>45964</v>
      </c>
      <c r="AP125" s="4" t="s">
        <v>61</v>
      </c>
    </row>
    <row r="126" spans="1:42">
      <c r="A126" s="1">
        <v>605</v>
      </c>
      <c r="B126" s="1" t="s">
        <v>678</v>
      </c>
      <c r="C126" s="1" t="s">
        <v>672</v>
      </c>
      <c r="D126" s="1" t="s">
        <v>673</v>
      </c>
      <c r="E126" s="1" t="s">
        <v>45</v>
      </c>
      <c r="F126" s="1">
        <v>69350</v>
      </c>
      <c r="G126" s="1" t="s">
        <v>640</v>
      </c>
      <c r="H126" s="1">
        <v>42.307250000000003</v>
      </c>
      <c r="I126" s="1">
        <v>-101.66768999999999</v>
      </c>
      <c r="J126" s="1" t="s">
        <v>674</v>
      </c>
      <c r="K126" s="1" t="s">
        <v>642</v>
      </c>
      <c r="L126" s="1" t="s">
        <v>49</v>
      </c>
      <c r="M126" s="9">
        <v>1222428</v>
      </c>
      <c r="N126" s="1" t="s">
        <v>50</v>
      </c>
      <c r="O126" s="1" t="s">
        <v>94</v>
      </c>
      <c r="P126" s="1" t="s">
        <v>52</v>
      </c>
      <c r="Q126" s="1" t="s">
        <v>675</v>
      </c>
      <c r="R126" s="23" t="s">
        <v>676</v>
      </c>
      <c r="S126" s="1" t="s">
        <v>54</v>
      </c>
      <c r="T126" s="1" t="s">
        <v>55</v>
      </c>
      <c r="U126" s="9">
        <v>56</v>
      </c>
      <c r="V126" s="9">
        <v>90</v>
      </c>
      <c r="W126" s="9">
        <v>84</v>
      </c>
      <c r="X126" s="9">
        <v>110</v>
      </c>
      <c r="Y126" s="9">
        <v>84</v>
      </c>
      <c r="Z126" s="9">
        <v>136</v>
      </c>
      <c r="AA126" s="9">
        <v>132</v>
      </c>
      <c r="AB126" s="9">
        <v>136</v>
      </c>
      <c r="AC126" s="9">
        <v>14</v>
      </c>
      <c r="AD126" s="9" t="s">
        <v>677</v>
      </c>
      <c r="AE126" s="9">
        <v>4</v>
      </c>
      <c r="AF126" s="9" t="s">
        <v>236</v>
      </c>
      <c r="AG126" s="2">
        <v>45959</v>
      </c>
      <c r="AH126" s="3">
        <v>0.56736111111111109</v>
      </c>
      <c r="AI126" s="3">
        <v>0.63124999999999998</v>
      </c>
      <c r="AJ126" s="10" t="s">
        <v>301</v>
      </c>
      <c r="AK126" s="8" t="s">
        <v>645</v>
      </c>
      <c r="AL126" s="5" t="s">
        <v>59</v>
      </c>
      <c r="AM126" s="5" t="s">
        <v>59</v>
      </c>
      <c r="AN126" s="5" t="s">
        <v>59</v>
      </c>
      <c r="AO126" s="14">
        <v>45964</v>
      </c>
      <c r="AP126" s="4" t="s">
        <v>61</v>
      </c>
    </row>
    <row r="127" spans="1:42">
      <c r="A127" s="1">
        <v>606</v>
      </c>
      <c r="B127" s="1" t="s">
        <v>679</v>
      </c>
      <c r="C127" s="1" t="s">
        <v>680</v>
      </c>
      <c r="D127" s="1" t="s">
        <v>652</v>
      </c>
      <c r="E127" s="1" t="s">
        <v>45</v>
      </c>
      <c r="F127" s="1">
        <v>69201</v>
      </c>
      <c r="G127" s="1" t="s">
        <v>640</v>
      </c>
      <c r="H127" s="1">
        <v>42.580722199999997</v>
      </c>
      <c r="I127" s="1">
        <v>-100.87224999999999</v>
      </c>
      <c r="J127" s="1" t="s">
        <v>681</v>
      </c>
      <c r="K127" s="1" t="s">
        <v>642</v>
      </c>
      <c r="L127" s="1" t="s">
        <v>49</v>
      </c>
      <c r="M127" s="9" t="s">
        <v>682</v>
      </c>
      <c r="N127" s="1" t="s">
        <v>50</v>
      </c>
      <c r="O127" s="1" t="s">
        <v>94</v>
      </c>
      <c r="P127" s="1" t="s">
        <v>52</v>
      </c>
      <c r="Q127" s="1" t="s">
        <v>662</v>
      </c>
      <c r="R127" s="23" t="s">
        <v>683</v>
      </c>
      <c r="S127" s="1" t="s">
        <v>54</v>
      </c>
      <c r="T127" s="1" t="s">
        <v>55</v>
      </c>
      <c r="U127" s="9">
        <v>24</v>
      </c>
      <c r="V127" s="9">
        <v>24</v>
      </c>
      <c r="W127" s="9">
        <v>10</v>
      </c>
      <c r="X127" s="9">
        <v>30</v>
      </c>
      <c r="Y127" s="9">
        <v>60</v>
      </c>
      <c r="Z127" s="9" t="s">
        <v>69</v>
      </c>
      <c r="AA127" s="9" t="s">
        <v>69</v>
      </c>
      <c r="AB127" s="9">
        <v>28</v>
      </c>
      <c r="AC127" s="9">
        <v>32</v>
      </c>
      <c r="AD127" s="9" t="s">
        <v>69</v>
      </c>
      <c r="AE127" s="9">
        <v>4</v>
      </c>
      <c r="AF127" s="9" t="s">
        <v>236</v>
      </c>
      <c r="AG127" s="2">
        <v>46002</v>
      </c>
      <c r="AH127" s="3">
        <v>0.50277777777777777</v>
      </c>
      <c r="AI127" s="3">
        <v>0.51458333333333328</v>
      </c>
      <c r="AJ127" s="10" t="s">
        <v>684</v>
      </c>
      <c r="AK127" s="8" t="s">
        <v>685</v>
      </c>
      <c r="AM127" s="5"/>
      <c r="AN127" s="5"/>
      <c r="AO127" s="14"/>
      <c r="AP127" s="4"/>
    </row>
    <row r="128" spans="1:42">
      <c r="A128" s="1">
        <v>705</v>
      </c>
      <c r="B128" s="1" t="s">
        <v>686</v>
      </c>
      <c r="C128" s="1" t="s">
        <v>687</v>
      </c>
      <c r="D128" s="1" t="s">
        <v>688</v>
      </c>
      <c r="E128" s="1" t="s">
        <v>45</v>
      </c>
      <c r="F128" s="1">
        <v>69343</v>
      </c>
      <c r="G128" s="1" t="s">
        <v>640</v>
      </c>
      <c r="H128" s="1">
        <v>42.813330000000001</v>
      </c>
      <c r="I128" s="1">
        <v>-102.06698</v>
      </c>
      <c r="J128" s="1" t="s">
        <v>689</v>
      </c>
      <c r="K128" s="1" t="s">
        <v>642</v>
      </c>
      <c r="L128" s="1" t="s">
        <v>49</v>
      </c>
      <c r="M128" s="9">
        <v>1256159</v>
      </c>
      <c r="N128" s="1" t="s">
        <v>50</v>
      </c>
      <c r="O128" s="1" t="s">
        <v>94</v>
      </c>
      <c r="P128" s="1" t="s">
        <v>52</v>
      </c>
      <c r="Q128" s="1" t="s">
        <v>690</v>
      </c>
      <c r="R128" s="23">
        <v>154345810</v>
      </c>
      <c r="S128" s="1" t="s">
        <v>54</v>
      </c>
      <c r="T128" s="1" t="s">
        <v>55</v>
      </c>
      <c r="U128" s="9">
        <v>80</v>
      </c>
      <c r="V128" s="9">
        <v>130</v>
      </c>
      <c r="W128" s="9">
        <v>130</v>
      </c>
      <c r="X128" s="9">
        <v>110</v>
      </c>
      <c r="Y128" s="9">
        <v>215</v>
      </c>
      <c r="Z128" s="9">
        <v>40</v>
      </c>
      <c r="AA128" s="9">
        <v>48</v>
      </c>
      <c r="AB128" s="9">
        <v>40</v>
      </c>
      <c r="AC128" s="9">
        <v>96</v>
      </c>
      <c r="AD128" s="9" t="s">
        <v>69</v>
      </c>
      <c r="AE128" s="9">
        <v>4</v>
      </c>
      <c r="AF128" s="9" t="s">
        <v>236</v>
      </c>
      <c r="AG128" s="2">
        <v>45960</v>
      </c>
      <c r="AH128" s="3">
        <v>0.60416666666666663</v>
      </c>
      <c r="AI128" s="3">
        <v>0.63472222222222219</v>
      </c>
      <c r="AJ128" s="10" t="s">
        <v>301</v>
      </c>
      <c r="AK128" s="8" t="s">
        <v>645</v>
      </c>
      <c r="AL128" s="5" t="s">
        <v>59</v>
      </c>
      <c r="AM128" s="5" t="s">
        <v>59</v>
      </c>
      <c r="AN128" s="5" t="s">
        <v>59</v>
      </c>
      <c r="AO128" s="14">
        <v>45972</v>
      </c>
      <c r="AP128" s="4" t="s">
        <v>61</v>
      </c>
    </row>
    <row r="129" spans="1:42">
      <c r="A129" s="1">
        <v>706</v>
      </c>
      <c r="B129" s="1" t="s">
        <v>691</v>
      </c>
      <c r="C129" s="1" t="s">
        <v>692</v>
      </c>
      <c r="D129" s="1" t="s">
        <v>693</v>
      </c>
      <c r="E129" s="1" t="s">
        <v>45</v>
      </c>
      <c r="F129" s="1">
        <v>69212</v>
      </c>
      <c r="G129" s="1" t="s">
        <v>640</v>
      </c>
      <c r="H129" s="1">
        <v>42.894199999999998</v>
      </c>
      <c r="I129" s="1">
        <v>-100.78813</v>
      </c>
      <c r="J129" s="1" t="s">
        <v>694</v>
      </c>
      <c r="K129" s="1" t="s">
        <v>642</v>
      </c>
      <c r="L129" s="1" t="s">
        <v>49</v>
      </c>
      <c r="M129" s="9">
        <v>1260065</v>
      </c>
      <c r="N129" s="1" t="s">
        <v>50</v>
      </c>
      <c r="O129" s="1" t="s">
        <v>94</v>
      </c>
      <c r="P129" s="1" t="s">
        <v>52</v>
      </c>
      <c r="Q129" s="1" t="s">
        <v>695</v>
      </c>
      <c r="R129" s="23">
        <v>18161529</v>
      </c>
      <c r="S129" s="1" t="s">
        <v>54</v>
      </c>
      <c r="T129" s="1" t="s">
        <v>55</v>
      </c>
      <c r="U129" s="9">
        <v>74</v>
      </c>
      <c r="V129" s="9">
        <v>223</v>
      </c>
      <c r="W129" s="9">
        <v>171</v>
      </c>
      <c r="X129" s="9">
        <v>145</v>
      </c>
      <c r="Y129" s="9">
        <v>143</v>
      </c>
      <c r="Z129" s="9">
        <v>157</v>
      </c>
      <c r="AA129" s="9">
        <v>28</v>
      </c>
      <c r="AB129" s="9">
        <v>136</v>
      </c>
      <c r="AC129" s="9">
        <v>84</v>
      </c>
      <c r="AD129" s="9" t="s">
        <v>69</v>
      </c>
      <c r="AE129" s="9" t="s">
        <v>69</v>
      </c>
      <c r="AF129" s="9" t="s">
        <v>472</v>
      </c>
      <c r="AG129" s="2">
        <v>45959</v>
      </c>
      <c r="AH129" s="3">
        <v>0.53541666666666665</v>
      </c>
      <c r="AI129" s="3">
        <v>0.56319444444444444</v>
      </c>
      <c r="AJ129" s="10" t="s">
        <v>696</v>
      </c>
      <c r="AK129" s="8" t="s">
        <v>253</v>
      </c>
      <c r="AL129" s="5" t="s">
        <v>59</v>
      </c>
      <c r="AM129" s="5" t="s">
        <v>59</v>
      </c>
      <c r="AN129" s="5" t="s">
        <v>59</v>
      </c>
      <c r="AO129" s="14">
        <v>45964</v>
      </c>
      <c r="AP129" s="4" t="s">
        <v>61</v>
      </c>
    </row>
    <row r="130" spans="1:42">
      <c r="A130" s="1">
        <v>711</v>
      </c>
      <c r="B130" s="1" t="s">
        <v>697</v>
      </c>
      <c r="C130" s="1" t="s">
        <v>698</v>
      </c>
      <c r="D130" s="1" t="s">
        <v>699</v>
      </c>
      <c r="E130" s="1" t="s">
        <v>45</v>
      </c>
      <c r="F130" s="1">
        <v>69218</v>
      </c>
      <c r="G130" s="1" t="s">
        <v>640</v>
      </c>
      <c r="H130" s="1">
        <v>42.914729999999999</v>
      </c>
      <c r="I130" s="1">
        <v>-101.80858000000001</v>
      </c>
      <c r="J130" s="1" t="s">
        <v>700</v>
      </c>
      <c r="K130" s="1" t="s">
        <v>642</v>
      </c>
      <c r="L130" s="1" t="s">
        <v>49</v>
      </c>
      <c r="M130" s="9">
        <v>1256440</v>
      </c>
      <c r="N130" s="1" t="s">
        <v>50</v>
      </c>
      <c r="O130" s="1" t="s">
        <v>94</v>
      </c>
      <c r="P130" s="1" t="s">
        <v>52</v>
      </c>
      <c r="Q130" s="1" t="s">
        <v>690</v>
      </c>
      <c r="R130" s="23" t="s">
        <v>701</v>
      </c>
      <c r="S130" s="1" t="s">
        <v>54</v>
      </c>
      <c r="T130" s="1" t="s">
        <v>55</v>
      </c>
      <c r="U130" s="9">
        <v>101</v>
      </c>
      <c r="V130" s="9">
        <v>164</v>
      </c>
      <c r="W130" s="9">
        <v>165</v>
      </c>
      <c r="X130" s="9">
        <v>90</v>
      </c>
      <c r="Y130" s="9">
        <v>155</v>
      </c>
      <c r="Z130" s="9">
        <v>80</v>
      </c>
      <c r="AA130" s="9">
        <v>12</v>
      </c>
      <c r="AB130" s="9">
        <v>80</v>
      </c>
      <c r="AC130" s="9">
        <v>84</v>
      </c>
      <c r="AD130" s="9" t="s">
        <v>69</v>
      </c>
      <c r="AE130" s="9">
        <v>4</v>
      </c>
      <c r="AF130" s="9" t="s">
        <v>236</v>
      </c>
      <c r="AG130" s="2">
        <v>45960</v>
      </c>
      <c r="AH130" s="3">
        <v>0.71805555555555556</v>
      </c>
      <c r="AI130" s="3">
        <v>0.77430555555555558</v>
      </c>
      <c r="AJ130" s="10" t="s">
        <v>301</v>
      </c>
      <c r="AK130" s="8" t="s">
        <v>645</v>
      </c>
      <c r="AL130" s="5" t="s">
        <v>59</v>
      </c>
      <c r="AM130" s="5" t="s">
        <v>59</v>
      </c>
      <c r="AN130" s="5" t="s">
        <v>59</v>
      </c>
      <c r="AO130" s="14">
        <v>45972</v>
      </c>
      <c r="AP130" s="4" t="s">
        <v>61</v>
      </c>
    </row>
    <row r="131" spans="1:42">
      <c r="A131" s="1">
        <v>714</v>
      </c>
      <c r="B131" s="1" t="s">
        <v>702</v>
      </c>
      <c r="C131" s="1" t="s">
        <v>703</v>
      </c>
      <c r="D131" s="1" t="s">
        <v>652</v>
      </c>
      <c r="E131" s="1" t="s">
        <v>45</v>
      </c>
      <c r="F131" s="1">
        <v>69201</v>
      </c>
      <c r="G131" s="1" t="s">
        <v>640</v>
      </c>
      <c r="H131" s="1">
        <v>42.873890000000003</v>
      </c>
      <c r="I131" s="1">
        <v>-100.54971999999999</v>
      </c>
      <c r="J131" s="1" t="s">
        <v>704</v>
      </c>
      <c r="K131" s="1" t="s">
        <v>642</v>
      </c>
      <c r="L131" s="1" t="s">
        <v>49</v>
      </c>
      <c r="M131" s="9">
        <v>1265544</v>
      </c>
      <c r="N131" s="1" t="s">
        <v>50</v>
      </c>
      <c r="O131" s="1" t="s">
        <v>556</v>
      </c>
      <c r="P131" s="1" t="s">
        <v>52</v>
      </c>
      <c r="Q131" s="1" t="s">
        <v>705</v>
      </c>
      <c r="R131" s="23">
        <v>20300009</v>
      </c>
      <c r="S131" s="1" t="s">
        <v>54</v>
      </c>
      <c r="T131" s="1" t="s">
        <v>55</v>
      </c>
      <c r="U131" s="9" t="s">
        <v>69</v>
      </c>
      <c r="V131" s="9">
        <v>150</v>
      </c>
      <c r="W131" s="9">
        <v>238</v>
      </c>
      <c r="X131" s="9">
        <v>196</v>
      </c>
      <c r="Y131" s="9">
        <v>66</v>
      </c>
      <c r="Z131" s="9">
        <v>239</v>
      </c>
      <c r="AA131" s="9">
        <v>155</v>
      </c>
      <c r="AB131" s="9">
        <v>187</v>
      </c>
      <c r="AC131" s="9">
        <v>288</v>
      </c>
      <c r="AD131" s="9" t="s">
        <v>69</v>
      </c>
      <c r="AE131" s="9" t="s">
        <v>69</v>
      </c>
      <c r="AF131" s="9" t="s">
        <v>472</v>
      </c>
      <c r="AG131" s="2">
        <v>45959</v>
      </c>
      <c r="AH131" s="3">
        <v>0.71319444444444446</v>
      </c>
      <c r="AI131" s="3">
        <v>0.75416666666666665</v>
      </c>
      <c r="AJ131" s="10" t="s">
        <v>301</v>
      </c>
      <c r="AK131" s="8" t="s">
        <v>253</v>
      </c>
      <c r="AL131" s="5" t="s">
        <v>59</v>
      </c>
      <c r="AM131" s="5" t="s">
        <v>59</v>
      </c>
      <c r="AN131" s="5" t="s">
        <v>59</v>
      </c>
      <c r="AO131" s="14">
        <v>45966</v>
      </c>
      <c r="AP131" s="4" t="s">
        <v>61</v>
      </c>
    </row>
    <row r="132" spans="1:42">
      <c r="A132" s="1">
        <v>747</v>
      </c>
      <c r="B132" s="1" t="s">
        <v>706</v>
      </c>
      <c r="C132" s="1" t="s">
        <v>707</v>
      </c>
      <c r="D132" s="1" t="s">
        <v>652</v>
      </c>
      <c r="E132" s="1" t="s">
        <v>45</v>
      </c>
      <c r="F132" s="1">
        <v>69201</v>
      </c>
      <c r="G132" s="1" t="s">
        <v>640</v>
      </c>
      <c r="H132" s="1">
        <v>42.663040000000002</v>
      </c>
      <c r="I132" s="1">
        <v>-100.5347</v>
      </c>
      <c r="J132" s="1" t="s">
        <v>708</v>
      </c>
      <c r="K132" s="1" t="s">
        <v>642</v>
      </c>
      <c r="L132" s="1" t="s">
        <v>49</v>
      </c>
      <c r="M132" s="9">
        <v>1280037</v>
      </c>
      <c r="N132" s="1" t="s">
        <v>50</v>
      </c>
      <c r="O132" s="1" t="s">
        <v>75</v>
      </c>
      <c r="P132" s="1" t="s">
        <v>52</v>
      </c>
      <c r="Q132" s="1" t="s">
        <v>654</v>
      </c>
      <c r="R132" s="23">
        <v>10975</v>
      </c>
      <c r="S132" s="1" t="s">
        <v>54</v>
      </c>
      <c r="T132" s="1" t="s">
        <v>55</v>
      </c>
      <c r="U132" s="9" t="s">
        <v>69</v>
      </c>
      <c r="V132" s="9" t="s">
        <v>69</v>
      </c>
      <c r="W132" s="9">
        <v>257</v>
      </c>
      <c r="X132" s="9">
        <v>92</v>
      </c>
      <c r="Y132" s="9" t="s">
        <v>69</v>
      </c>
      <c r="Z132" s="9">
        <v>45</v>
      </c>
      <c r="AA132" s="9">
        <v>73</v>
      </c>
      <c r="AB132" s="9">
        <v>29</v>
      </c>
      <c r="AC132" s="9">
        <v>68</v>
      </c>
      <c r="AD132" s="9" t="s">
        <v>69</v>
      </c>
      <c r="AE132" s="9" t="s">
        <v>69</v>
      </c>
      <c r="AF132" s="9" t="s">
        <v>472</v>
      </c>
      <c r="AG132" s="2">
        <v>45961</v>
      </c>
      <c r="AH132" s="3">
        <v>0.39305555555555555</v>
      </c>
      <c r="AI132" s="3">
        <v>0.44583333333333336</v>
      </c>
      <c r="AJ132" s="10" t="s">
        <v>301</v>
      </c>
      <c r="AK132" s="8" t="s">
        <v>253</v>
      </c>
      <c r="AL132" s="5" t="s">
        <v>59</v>
      </c>
      <c r="AM132" s="5" t="s">
        <v>59</v>
      </c>
      <c r="AN132" s="5" t="s">
        <v>59</v>
      </c>
      <c r="AO132" s="14">
        <v>45966</v>
      </c>
      <c r="AP132" s="4" t="s">
        <v>61</v>
      </c>
    </row>
    <row r="133" spans="1:42">
      <c r="A133" s="1">
        <v>757</v>
      </c>
      <c r="B133" s="1" t="s">
        <v>709</v>
      </c>
      <c r="C133" s="1" t="s">
        <v>710</v>
      </c>
      <c r="D133" s="1" t="s">
        <v>699</v>
      </c>
      <c r="E133" s="1" t="s">
        <v>45</v>
      </c>
      <c r="F133" s="1">
        <v>69218</v>
      </c>
      <c r="G133" s="1" t="s">
        <v>640</v>
      </c>
      <c r="H133" s="1">
        <v>42.913580000000003</v>
      </c>
      <c r="I133" s="1">
        <v>-101.70019000000001</v>
      </c>
      <c r="J133" s="1" t="s">
        <v>711</v>
      </c>
      <c r="K133" s="1" t="s">
        <v>642</v>
      </c>
      <c r="L133" s="1" t="s">
        <v>49</v>
      </c>
      <c r="M133" s="9">
        <v>1282604</v>
      </c>
      <c r="N133" s="1" t="s">
        <v>50</v>
      </c>
      <c r="O133" s="1" t="s">
        <v>712</v>
      </c>
      <c r="P133" s="1" t="s">
        <v>52</v>
      </c>
      <c r="Q133" s="1" t="s">
        <v>690</v>
      </c>
      <c r="R133" s="23" t="s">
        <v>713</v>
      </c>
      <c r="S133" s="1" t="s">
        <v>54</v>
      </c>
      <c r="T133" s="1" t="s">
        <v>55</v>
      </c>
      <c r="U133" s="9">
        <v>91</v>
      </c>
      <c r="V133" s="9">
        <v>174</v>
      </c>
      <c r="W133" s="9">
        <v>214</v>
      </c>
      <c r="X133" s="9">
        <v>56</v>
      </c>
      <c r="Y133" s="9">
        <v>230</v>
      </c>
      <c r="Z133" s="9">
        <v>50</v>
      </c>
      <c r="AA133" s="9">
        <v>60</v>
      </c>
      <c r="AB133" s="9">
        <v>20</v>
      </c>
      <c r="AC133" s="9">
        <v>36</v>
      </c>
      <c r="AD133" s="9" t="s">
        <v>69</v>
      </c>
      <c r="AE133" s="9">
        <v>4</v>
      </c>
      <c r="AF133" s="9" t="s">
        <v>236</v>
      </c>
      <c r="AG133" s="2">
        <v>45960</v>
      </c>
      <c r="AH133" s="3">
        <v>0.56041666666666667</v>
      </c>
      <c r="AI133" s="3">
        <v>0.59305555555555556</v>
      </c>
      <c r="AJ133" s="10" t="s">
        <v>301</v>
      </c>
      <c r="AK133" s="8" t="s">
        <v>645</v>
      </c>
      <c r="AL133" s="5" t="s">
        <v>59</v>
      </c>
      <c r="AM133" s="5" t="s">
        <v>59</v>
      </c>
      <c r="AN133" s="5" t="s">
        <v>59</v>
      </c>
      <c r="AO133" s="14">
        <v>45972</v>
      </c>
      <c r="AP133" s="4" t="s">
        <v>61</v>
      </c>
    </row>
    <row r="134" spans="1:42">
      <c r="A134" s="1">
        <v>761</v>
      </c>
      <c r="B134" s="1" t="s">
        <v>714</v>
      </c>
      <c r="C134" s="1" t="s">
        <v>715</v>
      </c>
      <c r="D134" s="1" t="s">
        <v>673</v>
      </c>
      <c r="E134" s="1" t="s">
        <v>45</v>
      </c>
      <c r="F134" s="1">
        <v>69350</v>
      </c>
      <c r="G134" s="1" t="s">
        <v>640</v>
      </c>
      <c r="H134" s="1">
        <v>42.15549</v>
      </c>
      <c r="I134" s="1">
        <v>-101.71577000000001</v>
      </c>
      <c r="J134" s="1" t="s">
        <v>716</v>
      </c>
      <c r="K134" s="1" t="s">
        <v>642</v>
      </c>
      <c r="L134" s="1" t="s">
        <v>49</v>
      </c>
      <c r="M134" s="9">
        <v>1283022</v>
      </c>
      <c r="N134" s="1" t="s">
        <v>50</v>
      </c>
      <c r="O134" s="1" t="s">
        <v>94</v>
      </c>
      <c r="P134" s="1" t="s">
        <v>52</v>
      </c>
      <c r="Q134" s="1" t="s">
        <v>675</v>
      </c>
      <c r="R134" s="23" t="s">
        <v>717</v>
      </c>
      <c r="S134" s="1" t="s">
        <v>54</v>
      </c>
      <c r="T134" s="1" t="s">
        <v>55</v>
      </c>
      <c r="U134" s="9">
        <v>120</v>
      </c>
      <c r="V134" s="9">
        <v>160</v>
      </c>
      <c r="W134" s="9">
        <v>104</v>
      </c>
      <c r="X134" s="9">
        <v>94</v>
      </c>
      <c r="Y134" s="9">
        <v>254</v>
      </c>
      <c r="Z134" s="9">
        <v>46</v>
      </c>
      <c r="AA134" s="9">
        <v>140</v>
      </c>
      <c r="AB134" s="9">
        <v>16</v>
      </c>
      <c r="AC134" s="9">
        <v>80</v>
      </c>
      <c r="AD134" s="9" t="s">
        <v>677</v>
      </c>
      <c r="AE134" s="9">
        <v>4</v>
      </c>
      <c r="AF134" s="9" t="s">
        <v>236</v>
      </c>
      <c r="AG134" s="2">
        <v>45959</v>
      </c>
      <c r="AH134" s="3">
        <v>0.4777777777777778</v>
      </c>
      <c r="AI134" s="3">
        <v>0.56736111111111109</v>
      </c>
      <c r="AJ134" s="10" t="s">
        <v>301</v>
      </c>
      <c r="AK134" s="8" t="s">
        <v>645</v>
      </c>
      <c r="AL134" s="5" t="s">
        <v>59</v>
      </c>
      <c r="AM134" s="5" t="s">
        <v>59</v>
      </c>
      <c r="AN134" s="5" t="s">
        <v>59</v>
      </c>
      <c r="AO134" s="14">
        <v>45964</v>
      </c>
      <c r="AP134" s="4" t="s">
        <v>61</v>
      </c>
    </row>
    <row r="135" spans="1:42">
      <c r="A135" s="1">
        <v>766</v>
      </c>
      <c r="B135" s="1" t="s">
        <v>718</v>
      </c>
      <c r="C135" s="1" t="s">
        <v>719</v>
      </c>
      <c r="D135" s="1" t="s">
        <v>652</v>
      </c>
      <c r="E135" s="1" t="s">
        <v>45</v>
      </c>
      <c r="F135" s="1">
        <v>69201</v>
      </c>
      <c r="G135" s="1" t="s">
        <v>640</v>
      </c>
      <c r="H135" s="1">
        <v>42.941740000000003</v>
      </c>
      <c r="I135" s="1">
        <v>-100.42606000000001</v>
      </c>
      <c r="J135" s="1" t="s">
        <v>720</v>
      </c>
      <c r="K135" s="1" t="s">
        <v>642</v>
      </c>
      <c r="L135" s="1" t="s">
        <v>49</v>
      </c>
      <c r="M135" s="9">
        <v>1284308</v>
      </c>
      <c r="N135" s="1" t="s">
        <v>50</v>
      </c>
      <c r="O135" s="1" t="s">
        <v>75</v>
      </c>
      <c r="P135" s="1" t="s">
        <v>52</v>
      </c>
      <c r="Q135" s="1" t="s">
        <v>695</v>
      </c>
      <c r="R135" s="23">
        <v>55115298</v>
      </c>
      <c r="S135" s="1" t="s">
        <v>54</v>
      </c>
      <c r="T135" s="1" t="s">
        <v>55</v>
      </c>
      <c r="U135" s="9">
        <v>114</v>
      </c>
      <c r="V135" s="9">
        <v>196</v>
      </c>
      <c r="W135" s="9">
        <v>234</v>
      </c>
      <c r="X135" s="9">
        <v>119</v>
      </c>
      <c r="Y135" s="9">
        <v>177</v>
      </c>
      <c r="Z135" s="9">
        <v>67</v>
      </c>
      <c r="AA135" s="9">
        <v>49</v>
      </c>
      <c r="AB135" s="9">
        <v>52</v>
      </c>
      <c r="AC135" s="9">
        <v>83</v>
      </c>
      <c r="AD135" s="9" t="s">
        <v>69</v>
      </c>
      <c r="AE135" s="9" t="s">
        <v>69</v>
      </c>
      <c r="AF135" s="9" t="s">
        <v>472</v>
      </c>
      <c r="AG135" s="2">
        <v>45959</v>
      </c>
      <c r="AH135" s="3">
        <v>0.64375000000000004</v>
      </c>
      <c r="AI135" s="3">
        <v>0.69861111111111107</v>
      </c>
      <c r="AJ135" s="10" t="s">
        <v>301</v>
      </c>
      <c r="AK135" s="8" t="s">
        <v>253</v>
      </c>
      <c r="AL135" s="5" t="s">
        <v>59</v>
      </c>
      <c r="AM135" s="5" t="s">
        <v>59</v>
      </c>
      <c r="AN135" s="5" t="s">
        <v>59</v>
      </c>
      <c r="AO135" s="14">
        <v>45966</v>
      </c>
      <c r="AP135" s="4" t="s">
        <v>61</v>
      </c>
    </row>
    <row r="136" spans="1:42">
      <c r="A136" s="1">
        <v>768</v>
      </c>
      <c r="B136" s="1" t="s">
        <v>721</v>
      </c>
      <c r="C136" s="1" t="s">
        <v>722</v>
      </c>
      <c r="D136" s="1" t="s">
        <v>688</v>
      </c>
      <c r="E136" s="1" t="s">
        <v>45</v>
      </c>
      <c r="F136" s="1">
        <v>69343</v>
      </c>
      <c r="G136" s="1" t="s">
        <v>640</v>
      </c>
      <c r="H136" s="1">
        <v>42.618699999999997</v>
      </c>
      <c r="I136" s="1">
        <v>-101.69477000000001</v>
      </c>
      <c r="J136" s="1" t="s">
        <v>723</v>
      </c>
      <c r="K136" s="1" t="s">
        <v>642</v>
      </c>
      <c r="L136" s="1" t="s">
        <v>49</v>
      </c>
      <c r="M136" s="9">
        <v>1313962</v>
      </c>
      <c r="N136" s="1" t="s">
        <v>50</v>
      </c>
      <c r="O136" s="1" t="s">
        <v>89</v>
      </c>
      <c r="P136" s="1" t="s">
        <v>52</v>
      </c>
      <c r="Q136" s="1" t="s">
        <v>643</v>
      </c>
      <c r="R136" s="23" t="s">
        <v>724</v>
      </c>
      <c r="S136" s="1" t="s">
        <v>54</v>
      </c>
      <c r="T136" s="1" t="s">
        <v>55</v>
      </c>
      <c r="U136" s="9">
        <v>84</v>
      </c>
      <c r="V136" s="9">
        <v>145</v>
      </c>
      <c r="W136" s="9">
        <v>250</v>
      </c>
      <c r="X136" s="9">
        <v>96</v>
      </c>
      <c r="Y136" s="9">
        <v>230</v>
      </c>
      <c r="Z136" s="9">
        <v>36</v>
      </c>
      <c r="AA136" s="9">
        <v>48</v>
      </c>
      <c r="AB136" s="9">
        <v>24</v>
      </c>
      <c r="AC136" s="9">
        <v>36</v>
      </c>
      <c r="AD136" s="9" t="s">
        <v>268</v>
      </c>
      <c r="AE136" s="9">
        <v>4</v>
      </c>
      <c r="AF136" s="9" t="s">
        <v>236</v>
      </c>
      <c r="AG136" s="2">
        <v>45959</v>
      </c>
      <c r="AH136" s="3">
        <v>0.70416666666666672</v>
      </c>
      <c r="AI136" s="3">
        <v>0.73541666666666672</v>
      </c>
      <c r="AJ136" s="10" t="s">
        <v>301</v>
      </c>
      <c r="AK136" s="8" t="s">
        <v>645</v>
      </c>
      <c r="AL136" s="5" t="s">
        <v>59</v>
      </c>
      <c r="AM136" s="5" t="s">
        <v>59</v>
      </c>
      <c r="AN136" s="5" t="s">
        <v>59</v>
      </c>
      <c r="AO136" s="14">
        <v>45964</v>
      </c>
      <c r="AP136" s="4" t="s">
        <v>61</v>
      </c>
    </row>
    <row r="137" spans="1:42">
      <c r="A137" s="1">
        <v>919</v>
      </c>
      <c r="B137" s="1" t="s">
        <v>725</v>
      </c>
      <c r="C137" s="1" t="s">
        <v>726</v>
      </c>
      <c r="D137" s="1" t="s">
        <v>688</v>
      </c>
      <c r="E137" s="1" t="s">
        <v>45</v>
      </c>
      <c r="F137" s="1">
        <v>69343</v>
      </c>
      <c r="G137" s="1" t="s">
        <v>640</v>
      </c>
      <c r="H137" s="1">
        <v>42.500810000000001</v>
      </c>
      <c r="I137" s="1">
        <v>-101.71028</v>
      </c>
      <c r="J137" s="1" t="s">
        <v>727</v>
      </c>
      <c r="K137" s="1" t="s">
        <v>642</v>
      </c>
      <c r="L137" s="1" t="s">
        <v>49</v>
      </c>
      <c r="M137" s="9">
        <v>1284310</v>
      </c>
      <c r="N137" s="1" t="s">
        <v>50</v>
      </c>
      <c r="O137" s="1" t="s">
        <v>94</v>
      </c>
      <c r="P137" s="1" t="s">
        <v>52</v>
      </c>
      <c r="Q137" s="1" t="s">
        <v>675</v>
      </c>
      <c r="R137" s="23" t="s">
        <v>728</v>
      </c>
      <c r="S137" s="1" t="s">
        <v>54</v>
      </c>
      <c r="T137" s="1" t="s">
        <v>55</v>
      </c>
      <c r="U137" s="9">
        <v>84</v>
      </c>
      <c r="V137" s="9">
        <v>168</v>
      </c>
      <c r="W137" s="9">
        <v>224</v>
      </c>
      <c r="X137" s="9">
        <v>79</v>
      </c>
      <c r="Y137" s="9">
        <v>240</v>
      </c>
      <c r="Z137" s="9">
        <v>44</v>
      </c>
      <c r="AA137" s="9">
        <v>84</v>
      </c>
      <c r="AB137" s="9">
        <v>24</v>
      </c>
      <c r="AC137" s="9">
        <v>84</v>
      </c>
      <c r="AD137" s="9" t="s">
        <v>69</v>
      </c>
      <c r="AE137" s="9">
        <v>4</v>
      </c>
      <c r="AF137" s="9" t="s">
        <v>236</v>
      </c>
      <c r="AG137" s="2">
        <v>45959</v>
      </c>
      <c r="AH137" s="3">
        <v>0.65486111111111112</v>
      </c>
      <c r="AI137" s="3">
        <v>0.69305555555555554</v>
      </c>
      <c r="AJ137" s="10" t="s">
        <v>301</v>
      </c>
      <c r="AK137" s="8" t="s">
        <v>645</v>
      </c>
      <c r="AL137" s="5" t="s">
        <v>59</v>
      </c>
      <c r="AM137" s="5" t="s">
        <v>59</v>
      </c>
      <c r="AN137" s="5" t="s">
        <v>59</v>
      </c>
      <c r="AO137" s="14">
        <v>45964</v>
      </c>
      <c r="AP137" s="4" t="s">
        <v>61</v>
      </c>
    </row>
    <row r="138" spans="1:42">
      <c r="A138" s="1">
        <v>940</v>
      </c>
      <c r="B138" s="1" t="s">
        <v>729</v>
      </c>
      <c r="C138" s="1" t="s">
        <v>730</v>
      </c>
      <c r="D138" s="1" t="s">
        <v>699</v>
      </c>
      <c r="E138" s="1" t="s">
        <v>45</v>
      </c>
      <c r="F138" s="1">
        <v>69218</v>
      </c>
      <c r="G138" s="1" t="s">
        <v>640</v>
      </c>
      <c r="H138" s="1">
        <v>42.791080000000001</v>
      </c>
      <c r="I138" s="1">
        <v>-101.69788</v>
      </c>
      <c r="J138" s="1" t="s">
        <v>731</v>
      </c>
      <c r="K138" s="1" t="s">
        <v>642</v>
      </c>
      <c r="L138" s="1" t="s">
        <v>49</v>
      </c>
      <c r="M138" s="9">
        <v>1296121</v>
      </c>
      <c r="N138" s="1" t="s">
        <v>50</v>
      </c>
      <c r="O138" s="1" t="s">
        <v>712</v>
      </c>
      <c r="P138" s="1" t="s">
        <v>52</v>
      </c>
      <c r="Q138" s="1" t="s">
        <v>690</v>
      </c>
      <c r="R138" s="23" t="s">
        <v>732</v>
      </c>
      <c r="S138" s="1" t="s">
        <v>54</v>
      </c>
      <c r="T138" s="1" t="s">
        <v>55</v>
      </c>
      <c r="U138" s="9">
        <v>84</v>
      </c>
      <c r="V138" s="9">
        <v>275</v>
      </c>
      <c r="W138" s="9">
        <v>327</v>
      </c>
      <c r="X138" s="9">
        <v>82</v>
      </c>
      <c r="Y138" s="9">
        <v>244</v>
      </c>
      <c r="Z138" s="9">
        <v>50</v>
      </c>
      <c r="AA138" s="9">
        <v>80</v>
      </c>
      <c r="AB138" s="9">
        <v>50</v>
      </c>
      <c r="AC138" s="9">
        <v>36</v>
      </c>
      <c r="AD138" s="9" t="s">
        <v>69</v>
      </c>
      <c r="AE138" s="9">
        <v>4</v>
      </c>
      <c r="AF138" s="9" t="s">
        <v>236</v>
      </c>
      <c r="AG138" s="2">
        <v>45960</v>
      </c>
      <c r="AH138" s="3">
        <v>0.66527777777777775</v>
      </c>
      <c r="AI138" s="3">
        <v>0.69027777777777777</v>
      </c>
      <c r="AJ138" s="10" t="s">
        <v>301</v>
      </c>
      <c r="AK138" s="8" t="s">
        <v>645</v>
      </c>
      <c r="AL138" s="5" t="s">
        <v>59</v>
      </c>
      <c r="AM138" s="5" t="s">
        <v>59</v>
      </c>
      <c r="AN138" s="5" t="s">
        <v>59</v>
      </c>
      <c r="AO138" s="14">
        <v>45998</v>
      </c>
      <c r="AP138" s="4" t="s">
        <v>61</v>
      </c>
    </row>
    <row r="139" spans="1:42">
      <c r="A139" s="1">
        <v>980</v>
      </c>
      <c r="B139" s="1" t="s">
        <v>733</v>
      </c>
      <c r="C139" s="1" t="s">
        <v>734</v>
      </c>
      <c r="D139" s="1" t="s">
        <v>735</v>
      </c>
      <c r="E139" s="1" t="s">
        <v>45</v>
      </c>
      <c r="F139" s="1">
        <v>69152</v>
      </c>
      <c r="G139" s="1" t="s">
        <v>640</v>
      </c>
      <c r="H139" s="1">
        <v>42.228850000000001</v>
      </c>
      <c r="I139" s="1">
        <v>-101.04501999999999</v>
      </c>
      <c r="J139" s="1" t="s">
        <v>736</v>
      </c>
      <c r="K139" s="1" t="s">
        <v>642</v>
      </c>
      <c r="L139" s="1" t="s">
        <v>49</v>
      </c>
      <c r="M139" s="9">
        <v>1287890</v>
      </c>
      <c r="N139" s="1" t="s">
        <v>50</v>
      </c>
      <c r="O139" s="1" t="s">
        <v>94</v>
      </c>
      <c r="P139" s="1" t="s">
        <v>52</v>
      </c>
      <c r="Q139" s="1" t="s">
        <v>667</v>
      </c>
      <c r="R139" s="23">
        <v>335043765</v>
      </c>
      <c r="S139" s="1" t="s">
        <v>54</v>
      </c>
      <c r="T139" s="1" t="s">
        <v>55</v>
      </c>
      <c r="U139" s="9">
        <v>78</v>
      </c>
      <c r="V139" s="9">
        <v>158</v>
      </c>
      <c r="W139" s="9">
        <v>219</v>
      </c>
      <c r="X139" s="9">
        <v>91</v>
      </c>
      <c r="Y139" s="9">
        <v>216</v>
      </c>
      <c r="Z139" s="9">
        <v>45</v>
      </c>
      <c r="AA139" s="9">
        <v>72</v>
      </c>
      <c r="AB139" s="9">
        <v>30</v>
      </c>
      <c r="AC139" s="9">
        <v>40</v>
      </c>
      <c r="AD139" s="9" t="s">
        <v>69</v>
      </c>
      <c r="AE139" s="9" t="s">
        <v>69</v>
      </c>
      <c r="AF139" s="9" t="s">
        <v>472</v>
      </c>
      <c r="AG139" s="2">
        <v>45960</v>
      </c>
      <c r="AH139" s="3">
        <v>0.44166666666666665</v>
      </c>
      <c r="AI139" s="3">
        <v>0.49861111111111112</v>
      </c>
      <c r="AJ139" s="10" t="s">
        <v>301</v>
      </c>
      <c r="AK139" s="8" t="s">
        <v>645</v>
      </c>
      <c r="AL139" s="5" t="s">
        <v>59</v>
      </c>
      <c r="AM139" s="5" t="s">
        <v>59</v>
      </c>
      <c r="AN139" s="5" t="s">
        <v>59</v>
      </c>
      <c r="AO139" s="14">
        <v>45964</v>
      </c>
      <c r="AP139" s="4" t="s">
        <v>61</v>
      </c>
    </row>
    <row r="140" spans="1:42">
      <c r="A140" s="1">
        <v>97</v>
      </c>
      <c r="B140" s="1" t="s">
        <v>737</v>
      </c>
      <c r="C140" s="1" t="s">
        <v>738</v>
      </c>
      <c r="D140" s="1" t="s">
        <v>739</v>
      </c>
      <c r="E140" s="1" t="s">
        <v>45</v>
      </c>
      <c r="F140" s="1">
        <v>69347</v>
      </c>
      <c r="G140" s="1" t="s">
        <v>740</v>
      </c>
      <c r="H140" s="1">
        <v>42.68315063</v>
      </c>
      <c r="I140" s="1">
        <v>-102.69015520000001</v>
      </c>
      <c r="J140" s="1" t="s">
        <v>741</v>
      </c>
      <c r="K140" s="1" t="s">
        <v>742</v>
      </c>
      <c r="L140" s="1" t="s">
        <v>49</v>
      </c>
      <c r="M140" s="9">
        <v>1299331</v>
      </c>
      <c r="N140" s="1" t="s">
        <v>50</v>
      </c>
      <c r="O140" s="1" t="s">
        <v>94</v>
      </c>
      <c r="P140" s="1" t="s">
        <v>52</v>
      </c>
      <c r="Q140" s="1" t="s">
        <v>690</v>
      </c>
      <c r="R140" s="9">
        <v>154344129</v>
      </c>
      <c r="S140" s="1" t="s">
        <v>54</v>
      </c>
      <c r="T140" s="1" t="s">
        <v>55</v>
      </c>
      <c r="U140" s="9">
        <v>2</v>
      </c>
      <c r="V140" s="9">
        <v>36</v>
      </c>
      <c r="W140" s="9">
        <v>30</v>
      </c>
      <c r="X140" s="9">
        <v>40</v>
      </c>
      <c r="Y140" s="9">
        <v>24</v>
      </c>
      <c r="Z140" s="9">
        <v>12</v>
      </c>
      <c r="AA140" s="9">
        <v>12</v>
      </c>
      <c r="AB140" s="9">
        <v>24</v>
      </c>
      <c r="AC140" s="9" t="s">
        <v>69</v>
      </c>
      <c r="AD140" s="9" t="s">
        <v>69</v>
      </c>
      <c r="AE140" s="9">
        <v>1</v>
      </c>
      <c r="AF140" s="9" t="s">
        <v>236</v>
      </c>
      <c r="AG140" s="2">
        <v>45972</v>
      </c>
      <c r="AH140" s="3">
        <v>0.49375000000000002</v>
      </c>
      <c r="AI140" s="3">
        <v>0.5180555555555556</v>
      </c>
      <c r="AJ140" s="10" t="s">
        <v>301</v>
      </c>
      <c r="AK140" s="8" t="s">
        <v>645</v>
      </c>
      <c r="AL140" s="5" t="s">
        <v>59</v>
      </c>
      <c r="AM140" s="5" t="s">
        <v>59</v>
      </c>
      <c r="AN140" s="5" t="s">
        <v>59</v>
      </c>
      <c r="AO140" s="14">
        <v>45998</v>
      </c>
      <c r="AP140" s="4" t="s">
        <v>61</v>
      </c>
    </row>
    <row r="141" spans="1:42">
      <c r="A141" s="1">
        <v>175</v>
      </c>
      <c r="B141" s="1" t="s">
        <v>743</v>
      </c>
      <c r="C141" s="1" t="s">
        <v>744</v>
      </c>
      <c r="D141" s="1" t="s">
        <v>745</v>
      </c>
      <c r="E141" s="1" t="s">
        <v>45</v>
      </c>
      <c r="F141" s="1">
        <v>69360</v>
      </c>
      <c r="G141" s="1" t="s">
        <v>740</v>
      </c>
      <c r="H141" s="1">
        <v>42.902479999999997</v>
      </c>
      <c r="I141" s="1">
        <v>-102.55887</v>
      </c>
      <c r="J141" s="1" t="s">
        <v>746</v>
      </c>
      <c r="K141" s="1" t="s">
        <v>742</v>
      </c>
      <c r="L141" s="1" t="s">
        <v>49</v>
      </c>
      <c r="M141" s="9">
        <v>1308632</v>
      </c>
      <c r="N141" s="1" t="s">
        <v>50</v>
      </c>
      <c r="O141" s="1" t="s">
        <v>94</v>
      </c>
      <c r="P141" s="1" t="s">
        <v>52</v>
      </c>
      <c r="Q141" s="1" t="s">
        <v>690</v>
      </c>
      <c r="R141" s="9">
        <v>158710788</v>
      </c>
      <c r="S141" s="1" t="s">
        <v>54</v>
      </c>
      <c r="T141" s="1" t="s">
        <v>55</v>
      </c>
      <c r="U141" s="9">
        <v>94</v>
      </c>
      <c r="V141" s="9">
        <v>192</v>
      </c>
      <c r="W141" s="9">
        <v>272</v>
      </c>
      <c r="X141" s="9">
        <v>88</v>
      </c>
      <c r="Y141" s="9">
        <v>280</v>
      </c>
      <c r="Z141" s="9">
        <v>44</v>
      </c>
      <c r="AA141" s="9">
        <v>60</v>
      </c>
      <c r="AB141" s="9">
        <v>44</v>
      </c>
      <c r="AC141" s="9">
        <v>35</v>
      </c>
      <c r="AD141" s="9" t="s">
        <v>69</v>
      </c>
      <c r="AE141" s="9">
        <v>4</v>
      </c>
      <c r="AF141" s="9" t="s">
        <v>236</v>
      </c>
      <c r="AG141" s="2">
        <v>45972</v>
      </c>
      <c r="AH141" s="3">
        <v>0.15347222222222223</v>
      </c>
      <c r="AI141" s="3">
        <v>0.39513888888888887</v>
      </c>
      <c r="AJ141" s="10" t="s">
        <v>747</v>
      </c>
      <c r="AK141" s="8" t="s">
        <v>645</v>
      </c>
      <c r="AL141" s="5" t="s">
        <v>59</v>
      </c>
      <c r="AM141" s="5" t="s">
        <v>59</v>
      </c>
      <c r="AN141" s="5" t="s">
        <v>59</v>
      </c>
      <c r="AO141" s="14">
        <v>45998</v>
      </c>
      <c r="AP141" s="4" t="s">
        <v>61</v>
      </c>
    </row>
    <row r="142" spans="1:42">
      <c r="A142" s="1">
        <v>578</v>
      </c>
      <c r="B142" s="1" t="s">
        <v>748</v>
      </c>
      <c r="C142" s="1" t="s">
        <v>749</v>
      </c>
      <c r="D142" s="1" t="s">
        <v>750</v>
      </c>
      <c r="E142" s="1" t="s">
        <v>45</v>
      </c>
      <c r="F142" s="1">
        <v>69340</v>
      </c>
      <c r="G142" s="1" t="s">
        <v>740</v>
      </c>
      <c r="H142" s="1">
        <v>42.22889</v>
      </c>
      <c r="I142" s="1">
        <v>-102.24247</v>
      </c>
      <c r="J142" s="1" t="s">
        <v>751</v>
      </c>
      <c r="K142" s="1" t="s">
        <v>742</v>
      </c>
      <c r="L142" s="1" t="s">
        <v>49</v>
      </c>
      <c r="M142" s="9">
        <v>1316774</v>
      </c>
      <c r="N142" s="1" t="s">
        <v>50</v>
      </c>
      <c r="O142" s="1" t="s">
        <v>570</v>
      </c>
      <c r="P142" s="1" t="s">
        <v>52</v>
      </c>
      <c r="Q142" s="1" t="s">
        <v>675</v>
      </c>
      <c r="R142" s="9">
        <v>114839349</v>
      </c>
      <c r="S142" s="1" t="s">
        <v>54</v>
      </c>
      <c r="T142" s="1" t="s">
        <v>55</v>
      </c>
      <c r="U142" s="9">
        <v>57</v>
      </c>
      <c r="V142" s="9">
        <v>110</v>
      </c>
      <c r="W142" s="9">
        <v>75</v>
      </c>
      <c r="X142" s="9">
        <v>60</v>
      </c>
      <c r="Y142" s="9">
        <v>180</v>
      </c>
      <c r="Z142" s="9">
        <v>75</v>
      </c>
      <c r="AA142" s="9">
        <v>52</v>
      </c>
      <c r="AB142" s="9">
        <v>75</v>
      </c>
      <c r="AC142" s="9">
        <v>100</v>
      </c>
      <c r="AD142" s="9" t="s">
        <v>69</v>
      </c>
      <c r="AE142" s="9">
        <v>4</v>
      </c>
      <c r="AF142" s="9" t="s">
        <v>236</v>
      </c>
      <c r="AG142" s="2">
        <v>45974</v>
      </c>
      <c r="AH142" s="3">
        <v>0.49930555555555556</v>
      </c>
      <c r="AI142" s="3">
        <v>0.51944444444444449</v>
      </c>
      <c r="AJ142" s="10" t="s">
        <v>301</v>
      </c>
      <c r="AK142" s="8" t="s">
        <v>645</v>
      </c>
      <c r="AL142" s="5" t="s">
        <v>59</v>
      </c>
      <c r="AM142" s="5" t="s">
        <v>59</v>
      </c>
      <c r="AN142" s="5" t="s">
        <v>59</v>
      </c>
      <c r="AO142" s="14">
        <v>45998</v>
      </c>
      <c r="AP142" s="4" t="s">
        <v>61</v>
      </c>
    </row>
    <row r="143" spans="1:42">
      <c r="A143" s="1">
        <v>680</v>
      </c>
      <c r="B143" s="1" t="s">
        <v>752</v>
      </c>
      <c r="C143" s="1" t="s">
        <v>753</v>
      </c>
      <c r="D143" s="1" t="s">
        <v>739</v>
      </c>
      <c r="E143" s="1" t="s">
        <v>45</v>
      </c>
      <c r="F143" s="1">
        <v>69347</v>
      </c>
      <c r="G143" s="1" t="s">
        <v>740</v>
      </c>
      <c r="H143" s="1">
        <v>42.651310000000002</v>
      </c>
      <c r="I143" s="1">
        <v>-102.69280999999999</v>
      </c>
      <c r="J143" s="1" t="s">
        <v>754</v>
      </c>
      <c r="K143" s="1" t="s">
        <v>742</v>
      </c>
      <c r="L143" s="1" t="s">
        <v>49</v>
      </c>
      <c r="M143" s="9">
        <v>1248758</v>
      </c>
      <c r="N143" s="1" t="s">
        <v>50</v>
      </c>
      <c r="O143" s="1" t="s">
        <v>755</v>
      </c>
      <c r="P143" s="1" t="s">
        <v>52</v>
      </c>
      <c r="Q143" s="1" t="s">
        <v>756</v>
      </c>
      <c r="R143" s="9">
        <v>119669185</v>
      </c>
      <c r="S143" s="1" t="s">
        <v>54</v>
      </c>
      <c r="T143" s="1" t="s">
        <v>55</v>
      </c>
      <c r="U143" s="9">
        <v>64</v>
      </c>
      <c r="V143" s="9">
        <v>208</v>
      </c>
      <c r="W143" s="9">
        <v>215</v>
      </c>
      <c r="X143" s="9">
        <v>60</v>
      </c>
      <c r="Y143" s="9">
        <v>207</v>
      </c>
      <c r="Z143" s="9">
        <v>66</v>
      </c>
      <c r="AA143" s="9">
        <v>60</v>
      </c>
      <c r="AB143" s="9">
        <v>66</v>
      </c>
      <c r="AC143" s="9">
        <v>24</v>
      </c>
      <c r="AD143" s="9" t="s">
        <v>69</v>
      </c>
      <c r="AE143" s="9">
        <v>4</v>
      </c>
      <c r="AF143" s="9" t="s">
        <v>236</v>
      </c>
      <c r="AG143" s="2">
        <v>45972</v>
      </c>
      <c r="AH143" s="3">
        <v>0.4375</v>
      </c>
      <c r="AI143" s="3">
        <v>0.46875</v>
      </c>
      <c r="AJ143" s="10" t="s">
        <v>301</v>
      </c>
      <c r="AK143" s="8" t="s">
        <v>645</v>
      </c>
      <c r="AL143" s="5" t="s">
        <v>59</v>
      </c>
      <c r="AM143" s="5" t="s">
        <v>59</v>
      </c>
      <c r="AN143" s="5" t="s">
        <v>59</v>
      </c>
      <c r="AO143" s="14">
        <v>45998</v>
      </c>
      <c r="AP143" s="4" t="s">
        <v>61</v>
      </c>
    </row>
    <row r="144" spans="1:42">
      <c r="A144" s="1">
        <v>689</v>
      </c>
      <c r="B144" s="1" t="s">
        <v>757</v>
      </c>
      <c r="C144" s="1" t="s">
        <v>758</v>
      </c>
      <c r="D144" s="1" t="s">
        <v>739</v>
      </c>
      <c r="E144" s="1" t="s">
        <v>45</v>
      </c>
      <c r="F144" s="1">
        <v>69347</v>
      </c>
      <c r="G144" s="1" t="s">
        <v>740</v>
      </c>
      <c r="H144" s="1">
        <v>42.454219999999999</v>
      </c>
      <c r="I144" s="1">
        <v>-102.69564</v>
      </c>
      <c r="J144" s="1" t="s">
        <v>759</v>
      </c>
      <c r="K144" s="1" t="s">
        <v>742</v>
      </c>
      <c r="L144" s="1" t="s">
        <v>49</v>
      </c>
      <c r="M144" s="9">
        <v>1248289</v>
      </c>
      <c r="N144" s="1" t="s">
        <v>50</v>
      </c>
      <c r="O144" s="1" t="s">
        <v>89</v>
      </c>
      <c r="P144" s="1" t="s">
        <v>52</v>
      </c>
      <c r="Q144" s="1" t="s">
        <v>756</v>
      </c>
      <c r="R144" s="9">
        <v>119668933</v>
      </c>
      <c r="S144" s="1" t="s">
        <v>54</v>
      </c>
      <c r="T144" s="1" t="s">
        <v>55</v>
      </c>
      <c r="U144" s="9">
        <v>90</v>
      </c>
      <c r="V144" s="9">
        <v>142</v>
      </c>
      <c r="W144" s="9">
        <v>142</v>
      </c>
      <c r="X144" s="9">
        <v>80</v>
      </c>
      <c r="Y144" s="9">
        <v>222</v>
      </c>
      <c r="Z144" s="9">
        <v>83</v>
      </c>
      <c r="AA144" s="9">
        <v>29</v>
      </c>
      <c r="AB144" s="9">
        <v>80</v>
      </c>
      <c r="AC144" s="9">
        <v>47</v>
      </c>
      <c r="AD144" s="9" t="s">
        <v>69</v>
      </c>
      <c r="AE144" s="9">
        <v>4</v>
      </c>
      <c r="AF144" s="9" t="s">
        <v>236</v>
      </c>
      <c r="AG144" s="2">
        <v>45972</v>
      </c>
      <c r="AH144" s="3">
        <v>0.37569444444444444</v>
      </c>
      <c r="AI144" s="3">
        <v>0.42083333333333334</v>
      </c>
      <c r="AJ144" s="10" t="s">
        <v>301</v>
      </c>
      <c r="AK144" s="8" t="s">
        <v>645</v>
      </c>
      <c r="AL144" s="5" t="s">
        <v>59</v>
      </c>
      <c r="AM144" s="5" t="s">
        <v>59</v>
      </c>
      <c r="AN144" s="5" t="s">
        <v>59</v>
      </c>
      <c r="AO144" s="14">
        <v>45998</v>
      </c>
      <c r="AP144" s="4" t="s">
        <v>61</v>
      </c>
    </row>
    <row r="145" spans="1:42">
      <c r="A145" s="1">
        <v>702</v>
      </c>
      <c r="B145" s="1" t="s">
        <v>760</v>
      </c>
      <c r="C145" s="1" t="s">
        <v>761</v>
      </c>
      <c r="D145" s="1" t="s">
        <v>762</v>
      </c>
      <c r="E145" s="1" t="s">
        <v>45</v>
      </c>
      <c r="F145" s="1">
        <v>69335</v>
      </c>
      <c r="G145" s="1" t="s">
        <v>740</v>
      </c>
      <c r="H145" s="1">
        <v>42.023859999999999</v>
      </c>
      <c r="I145" s="1">
        <v>-102.09681</v>
      </c>
      <c r="J145" s="1" t="s">
        <v>763</v>
      </c>
      <c r="K145" s="1" t="s">
        <v>742</v>
      </c>
      <c r="L145" s="1" t="s">
        <v>49</v>
      </c>
      <c r="M145" s="9">
        <v>1259342</v>
      </c>
      <c r="N145" s="1" t="s">
        <v>50</v>
      </c>
      <c r="O145" s="1" t="s">
        <v>89</v>
      </c>
      <c r="P145" s="1" t="s">
        <v>52</v>
      </c>
      <c r="Q145" s="1" t="s">
        <v>682</v>
      </c>
      <c r="R145" s="9" t="s">
        <v>682</v>
      </c>
      <c r="S145" s="1" t="s">
        <v>54</v>
      </c>
      <c r="T145" s="1" t="s">
        <v>55</v>
      </c>
      <c r="U145" s="9">
        <v>65</v>
      </c>
      <c r="V145" s="9">
        <v>110</v>
      </c>
      <c r="W145" s="9">
        <v>115</v>
      </c>
      <c r="X145" s="9">
        <v>60</v>
      </c>
      <c r="Y145" s="9">
        <v>175</v>
      </c>
      <c r="Z145" s="9">
        <v>76</v>
      </c>
      <c r="AA145" s="9">
        <v>90</v>
      </c>
      <c r="AB145" s="9">
        <v>88</v>
      </c>
      <c r="AC145" s="9">
        <v>60</v>
      </c>
      <c r="AD145" s="9" t="s">
        <v>69</v>
      </c>
      <c r="AE145" s="9">
        <v>4</v>
      </c>
      <c r="AF145" s="9" t="s">
        <v>236</v>
      </c>
      <c r="AG145" s="2">
        <v>45974</v>
      </c>
      <c r="AH145" s="3">
        <v>0.6</v>
      </c>
      <c r="AI145" s="3">
        <v>0.62847222222222221</v>
      </c>
      <c r="AJ145" s="10" t="s">
        <v>301</v>
      </c>
      <c r="AK145" s="8" t="s">
        <v>645</v>
      </c>
      <c r="AL145" s="5" t="s">
        <v>59</v>
      </c>
      <c r="AM145" s="5" t="s">
        <v>59</v>
      </c>
      <c r="AN145" s="5" t="s">
        <v>59</v>
      </c>
      <c r="AO145" s="14">
        <v>45998</v>
      </c>
      <c r="AP145" s="4" t="s">
        <v>61</v>
      </c>
    </row>
    <row r="146" spans="1:42">
      <c r="A146" s="1">
        <v>707</v>
      </c>
      <c r="B146" s="1" t="s">
        <v>764</v>
      </c>
      <c r="C146" s="1" t="s">
        <v>765</v>
      </c>
      <c r="D146" s="1" t="s">
        <v>745</v>
      </c>
      <c r="E146" s="1" t="s">
        <v>45</v>
      </c>
      <c r="F146" s="1">
        <v>69360</v>
      </c>
      <c r="G146" s="1" t="s">
        <v>740</v>
      </c>
      <c r="H146" s="1">
        <v>42.718510000000002</v>
      </c>
      <c r="I146" s="1">
        <v>-102.46556</v>
      </c>
      <c r="J146" s="1" t="s">
        <v>766</v>
      </c>
      <c r="K146" s="1" t="s">
        <v>742</v>
      </c>
      <c r="L146" s="1" t="s">
        <v>49</v>
      </c>
      <c r="M146" s="9">
        <v>1282615</v>
      </c>
      <c r="N146" s="1" t="s">
        <v>50</v>
      </c>
      <c r="O146" s="1" t="s">
        <v>767</v>
      </c>
      <c r="P146" s="1" t="s">
        <v>52</v>
      </c>
      <c r="Q146" s="1" t="s">
        <v>690</v>
      </c>
      <c r="R146" s="9">
        <v>154344873</v>
      </c>
      <c r="S146" s="1" t="s">
        <v>54</v>
      </c>
      <c r="T146" s="1" t="s">
        <v>55</v>
      </c>
      <c r="U146" s="9">
        <v>90</v>
      </c>
      <c r="V146" s="9">
        <v>170</v>
      </c>
      <c r="W146" s="9">
        <v>245</v>
      </c>
      <c r="X146" s="9">
        <v>60</v>
      </c>
      <c r="Y146" s="9">
        <v>214</v>
      </c>
      <c r="Z146" s="9">
        <v>37</v>
      </c>
      <c r="AA146" s="9">
        <v>52</v>
      </c>
      <c r="AB146" s="9">
        <v>37</v>
      </c>
      <c r="AC146" s="9">
        <v>75</v>
      </c>
      <c r="AD146" s="9" t="s">
        <v>69</v>
      </c>
      <c r="AE146" s="9">
        <v>4</v>
      </c>
      <c r="AF146" s="9" t="s">
        <v>236</v>
      </c>
      <c r="AG146" s="2">
        <v>45973</v>
      </c>
      <c r="AH146" s="3">
        <v>0.36249999999999999</v>
      </c>
      <c r="AI146" s="3">
        <v>0.39444444444444443</v>
      </c>
      <c r="AJ146" s="10" t="s">
        <v>301</v>
      </c>
      <c r="AK146" s="8" t="s">
        <v>645</v>
      </c>
      <c r="AL146" s="5" t="s">
        <v>59</v>
      </c>
      <c r="AM146" s="5" t="s">
        <v>59</v>
      </c>
      <c r="AN146" s="5" t="s">
        <v>59</v>
      </c>
      <c r="AO146" s="14">
        <v>45998</v>
      </c>
      <c r="AP146" s="4" t="s">
        <v>61</v>
      </c>
    </row>
    <row r="147" spans="1:42">
      <c r="A147" s="1">
        <v>710</v>
      </c>
      <c r="B147" s="1" t="s">
        <v>768</v>
      </c>
      <c r="C147" s="1" t="s">
        <v>769</v>
      </c>
      <c r="D147" s="1" t="s">
        <v>750</v>
      </c>
      <c r="E147" s="1" t="s">
        <v>45</v>
      </c>
      <c r="F147" s="1">
        <v>69340</v>
      </c>
      <c r="G147" s="1" t="s">
        <v>740</v>
      </c>
      <c r="H147" s="1">
        <v>42.065170000000002</v>
      </c>
      <c r="I147" s="1">
        <v>-102.30342</v>
      </c>
      <c r="J147" s="1" t="s">
        <v>770</v>
      </c>
      <c r="K147" s="1" t="s">
        <v>742</v>
      </c>
      <c r="L147" s="1" t="s">
        <v>49</v>
      </c>
      <c r="M147" s="9">
        <v>1254939</v>
      </c>
      <c r="N147" s="1" t="s">
        <v>50</v>
      </c>
      <c r="O147" s="1" t="s">
        <v>89</v>
      </c>
      <c r="P147" s="1" t="s">
        <v>52</v>
      </c>
      <c r="Q147" s="1" t="s">
        <v>675</v>
      </c>
      <c r="R147" s="9">
        <v>114839427</v>
      </c>
      <c r="S147" s="1" t="s">
        <v>54</v>
      </c>
      <c r="T147" s="1" t="s">
        <v>55</v>
      </c>
      <c r="U147" s="9">
        <v>78</v>
      </c>
      <c r="V147" s="9">
        <v>160</v>
      </c>
      <c r="W147" s="9">
        <v>172</v>
      </c>
      <c r="X147" s="9">
        <v>68</v>
      </c>
      <c r="Y147" s="9">
        <v>228</v>
      </c>
      <c r="Z147" s="9">
        <v>60</v>
      </c>
      <c r="AA147" s="9">
        <v>56</v>
      </c>
      <c r="AB147" s="9">
        <v>68</v>
      </c>
      <c r="AC147" s="9">
        <v>82</v>
      </c>
      <c r="AD147" s="9" t="s">
        <v>69</v>
      </c>
      <c r="AE147" s="9">
        <v>4</v>
      </c>
      <c r="AF147" s="9" t="s">
        <v>236</v>
      </c>
      <c r="AG147" s="2">
        <v>45974</v>
      </c>
      <c r="AH147" s="3">
        <v>0.54305555555555551</v>
      </c>
      <c r="AI147" s="3">
        <v>0.57499999999999996</v>
      </c>
      <c r="AJ147" s="10" t="s">
        <v>301</v>
      </c>
      <c r="AK147" s="8" t="s">
        <v>645</v>
      </c>
      <c r="AL147" s="5" t="s">
        <v>59</v>
      </c>
      <c r="AM147" s="5" t="s">
        <v>59</v>
      </c>
      <c r="AN147" s="5" t="s">
        <v>59</v>
      </c>
      <c r="AO147" s="14">
        <v>45998</v>
      </c>
      <c r="AP147" s="4" t="s">
        <v>61</v>
      </c>
    </row>
    <row r="148" spans="1:42">
      <c r="A148" s="1">
        <v>713</v>
      </c>
      <c r="B148" s="1" t="s">
        <v>771</v>
      </c>
      <c r="C148" s="1" t="s">
        <v>772</v>
      </c>
      <c r="D148" s="1" t="s">
        <v>688</v>
      </c>
      <c r="E148" s="1" t="s">
        <v>45</v>
      </c>
      <c r="F148" s="1">
        <v>69343</v>
      </c>
      <c r="G148" s="1" t="s">
        <v>740</v>
      </c>
      <c r="H148" s="1">
        <v>42.747119439999999</v>
      </c>
      <c r="I148" s="1">
        <v>-102.3604194</v>
      </c>
      <c r="J148" s="1" t="s">
        <v>773</v>
      </c>
      <c r="K148" s="1" t="s">
        <v>742</v>
      </c>
      <c r="L148" s="1" t="s">
        <v>49</v>
      </c>
      <c r="M148" s="9">
        <v>1256103</v>
      </c>
      <c r="N148" s="1" t="s">
        <v>50</v>
      </c>
      <c r="O148" s="1" t="s">
        <v>94</v>
      </c>
      <c r="P148" s="1" t="s">
        <v>52</v>
      </c>
      <c r="Q148" s="1" t="s">
        <v>756</v>
      </c>
      <c r="R148" s="9">
        <v>119668197</v>
      </c>
      <c r="S148" s="1" t="s">
        <v>54</v>
      </c>
      <c r="T148" s="1" t="s">
        <v>55</v>
      </c>
      <c r="U148" s="9">
        <v>72</v>
      </c>
      <c r="V148" s="9">
        <v>156</v>
      </c>
      <c r="W148" s="9">
        <v>144</v>
      </c>
      <c r="X148" s="9">
        <v>110</v>
      </c>
      <c r="Y148" s="9">
        <v>168</v>
      </c>
      <c r="Z148" s="9">
        <v>108</v>
      </c>
      <c r="AA148" s="9">
        <v>60</v>
      </c>
      <c r="AB148" s="9">
        <v>60</v>
      </c>
      <c r="AC148" s="9">
        <v>48</v>
      </c>
      <c r="AD148" s="9" t="s">
        <v>69</v>
      </c>
      <c r="AE148" s="9">
        <v>4</v>
      </c>
      <c r="AF148" s="9" t="s">
        <v>236</v>
      </c>
      <c r="AG148" s="2">
        <v>45973</v>
      </c>
      <c r="AH148" s="3">
        <v>0.41111111111111109</v>
      </c>
      <c r="AI148" s="3">
        <v>0.44236111111111109</v>
      </c>
      <c r="AJ148" s="10" t="s">
        <v>301</v>
      </c>
      <c r="AK148" s="8" t="s">
        <v>645</v>
      </c>
      <c r="AL148" s="5" t="s">
        <v>59</v>
      </c>
      <c r="AM148" s="5" t="s">
        <v>59</v>
      </c>
      <c r="AN148" s="5" t="s">
        <v>59</v>
      </c>
      <c r="AO148" s="14">
        <v>45998</v>
      </c>
      <c r="AP148" s="4" t="s">
        <v>61</v>
      </c>
    </row>
    <row r="149" spans="1:42">
      <c r="A149" s="1">
        <v>746</v>
      </c>
      <c r="B149" s="1" t="s">
        <v>774</v>
      </c>
      <c r="C149" s="1" t="s">
        <v>775</v>
      </c>
      <c r="D149" s="1" t="s">
        <v>688</v>
      </c>
      <c r="E149" s="1" t="s">
        <v>45</v>
      </c>
      <c r="F149" s="1">
        <v>69343</v>
      </c>
      <c r="G149" s="1" t="s">
        <v>740</v>
      </c>
      <c r="H149" s="1">
        <v>42.803609999999999</v>
      </c>
      <c r="I149" s="1">
        <v>-102.19864</v>
      </c>
      <c r="J149" s="1" t="s">
        <v>776</v>
      </c>
      <c r="K149" s="1" t="s">
        <v>742</v>
      </c>
      <c r="L149" s="1" t="s">
        <v>49</v>
      </c>
      <c r="M149" s="9">
        <v>1275757</v>
      </c>
      <c r="N149" s="1" t="s">
        <v>50</v>
      </c>
      <c r="O149" s="1" t="s">
        <v>287</v>
      </c>
      <c r="P149" s="1" t="s">
        <v>52</v>
      </c>
      <c r="Q149" s="1" t="s">
        <v>690</v>
      </c>
      <c r="R149" s="9">
        <v>154347266</v>
      </c>
      <c r="S149" s="1" t="s">
        <v>54</v>
      </c>
      <c r="T149" s="1" t="s">
        <v>55</v>
      </c>
      <c r="U149" s="9">
        <v>72</v>
      </c>
      <c r="V149" s="9">
        <v>215</v>
      </c>
      <c r="W149" s="9">
        <v>263</v>
      </c>
      <c r="X149" s="9">
        <v>85</v>
      </c>
      <c r="Y149" s="9">
        <v>298</v>
      </c>
      <c r="Z149" s="9">
        <v>80</v>
      </c>
      <c r="AA149" s="9">
        <v>64</v>
      </c>
      <c r="AB149" s="9">
        <v>30</v>
      </c>
      <c r="AC149" s="9">
        <v>45</v>
      </c>
      <c r="AD149" s="9" t="s">
        <v>69</v>
      </c>
      <c r="AE149" s="9">
        <v>4</v>
      </c>
      <c r="AF149" s="9" t="s">
        <v>236</v>
      </c>
      <c r="AG149" s="2">
        <v>45973</v>
      </c>
      <c r="AH149" s="3">
        <v>0.52847222222222223</v>
      </c>
      <c r="AI149" s="3">
        <v>0.55069444444444449</v>
      </c>
      <c r="AJ149" s="10" t="s">
        <v>301</v>
      </c>
      <c r="AK149" s="8" t="s">
        <v>645</v>
      </c>
      <c r="AL149" s="5" t="s">
        <v>59</v>
      </c>
      <c r="AM149" s="5" t="s">
        <v>59</v>
      </c>
      <c r="AN149" s="5" t="s">
        <v>59</v>
      </c>
      <c r="AO149" s="14">
        <v>46000</v>
      </c>
      <c r="AP149" s="4" t="s">
        <v>61</v>
      </c>
    </row>
    <row r="150" spans="1:42">
      <c r="A150" s="1">
        <v>758</v>
      </c>
      <c r="B150" s="1" t="s">
        <v>777</v>
      </c>
      <c r="C150" s="1" t="s">
        <v>778</v>
      </c>
      <c r="D150" s="1" t="s">
        <v>688</v>
      </c>
      <c r="E150" s="1" t="s">
        <v>45</v>
      </c>
      <c r="F150" s="1">
        <v>69343</v>
      </c>
      <c r="G150" s="1" t="s">
        <v>740</v>
      </c>
      <c r="H150" s="1">
        <v>42.922640000000001</v>
      </c>
      <c r="I150" s="1">
        <v>-102.22275999999999</v>
      </c>
      <c r="J150" s="1" t="s">
        <v>779</v>
      </c>
      <c r="K150" s="1" t="s">
        <v>742</v>
      </c>
      <c r="L150" s="1" t="s">
        <v>49</v>
      </c>
      <c r="M150" s="9">
        <v>1282575</v>
      </c>
      <c r="N150" s="1" t="s">
        <v>50</v>
      </c>
      <c r="O150" s="1" t="s">
        <v>94</v>
      </c>
      <c r="P150" s="1" t="s">
        <v>52</v>
      </c>
      <c r="Q150" s="1" t="s">
        <v>756</v>
      </c>
      <c r="R150" s="9">
        <v>119667392</v>
      </c>
      <c r="S150" s="1" t="s">
        <v>54</v>
      </c>
      <c r="T150" s="1" t="s">
        <v>55</v>
      </c>
      <c r="U150" s="9">
        <v>90</v>
      </c>
      <c r="V150" s="9">
        <v>163</v>
      </c>
      <c r="W150" s="9">
        <v>50</v>
      </c>
      <c r="X150" s="9">
        <v>80</v>
      </c>
      <c r="Y150" s="9">
        <v>243</v>
      </c>
      <c r="Z150" s="9">
        <v>36</v>
      </c>
      <c r="AA150" s="9">
        <v>60</v>
      </c>
      <c r="AB150" s="9">
        <v>36</v>
      </c>
      <c r="AC150" s="9">
        <v>80</v>
      </c>
      <c r="AD150" s="9" t="s">
        <v>69</v>
      </c>
      <c r="AE150" s="9">
        <v>4</v>
      </c>
      <c r="AF150" s="9" t="s">
        <v>236</v>
      </c>
      <c r="AG150" s="2">
        <v>45973</v>
      </c>
      <c r="AH150" s="3">
        <v>0.48194444444444445</v>
      </c>
      <c r="AI150" s="3">
        <v>0.51041666666666663</v>
      </c>
      <c r="AJ150" s="10" t="s">
        <v>301</v>
      </c>
      <c r="AK150" s="8" t="s">
        <v>645</v>
      </c>
      <c r="AL150" s="5" t="s">
        <v>59</v>
      </c>
      <c r="AM150" s="5" t="s">
        <v>59</v>
      </c>
      <c r="AN150" s="5" t="s">
        <v>59</v>
      </c>
      <c r="AO150" s="14">
        <v>45998</v>
      </c>
      <c r="AP150" s="4" t="s">
        <v>61</v>
      </c>
    </row>
    <row r="151" spans="1:42">
      <c r="A151" s="1">
        <v>793</v>
      </c>
      <c r="B151" s="1" t="s">
        <v>780</v>
      </c>
      <c r="C151" s="1" t="s">
        <v>781</v>
      </c>
      <c r="D151" s="1" t="s">
        <v>745</v>
      </c>
      <c r="E151" s="1" t="s">
        <v>45</v>
      </c>
      <c r="F151" s="1">
        <v>69360</v>
      </c>
      <c r="G151" s="1" t="s">
        <v>740</v>
      </c>
      <c r="H151" s="1">
        <v>42.871040000000001</v>
      </c>
      <c r="I151" s="1">
        <v>-102.45486</v>
      </c>
      <c r="J151" s="1" t="s">
        <v>782</v>
      </c>
      <c r="K151" s="1" t="s">
        <v>742</v>
      </c>
      <c r="L151" s="1" t="s">
        <v>49</v>
      </c>
      <c r="M151" s="9">
        <v>1312636</v>
      </c>
      <c r="N151" s="1" t="s">
        <v>50</v>
      </c>
      <c r="O151" s="1" t="s">
        <v>89</v>
      </c>
      <c r="P151" s="1" t="s">
        <v>52</v>
      </c>
      <c r="Q151" s="1" t="s">
        <v>756</v>
      </c>
      <c r="R151" s="9" t="s">
        <v>783</v>
      </c>
      <c r="S151" s="1" t="s">
        <v>54</v>
      </c>
      <c r="T151" s="1" t="s">
        <v>55</v>
      </c>
      <c r="U151" s="9">
        <v>84</v>
      </c>
      <c r="V151" s="9">
        <v>168</v>
      </c>
      <c r="W151" s="9">
        <v>230</v>
      </c>
      <c r="X151" s="9">
        <v>72</v>
      </c>
      <c r="Y151" s="9">
        <v>218</v>
      </c>
      <c r="Z151" s="9">
        <v>46</v>
      </c>
      <c r="AA151" s="9">
        <v>82</v>
      </c>
      <c r="AB151" s="9">
        <v>46</v>
      </c>
      <c r="AC151" s="9">
        <v>48</v>
      </c>
      <c r="AD151" s="9" t="s">
        <v>69</v>
      </c>
      <c r="AE151" s="9">
        <v>4</v>
      </c>
      <c r="AF151" s="9" t="s">
        <v>236</v>
      </c>
      <c r="AG151" s="2">
        <v>45972</v>
      </c>
      <c r="AH151" s="3">
        <v>0.68958333333333333</v>
      </c>
      <c r="AI151" s="3">
        <v>0.70902777777777781</v>
      </c>
      <c r="AJ151" s="10" t="s">
        <v>301</v>
      </c>
      <c r="AK151" s="8" t="s">
        <v>645</v>
      </c>
      <c r="AL151" s="5" t="s">
        <v>59</v>
      </c>
      <c r="AM151" s="5" t="s">
        <v>59</v>
      </c>
      <c r="AN151" s="5" t="s">
        <v>59</v>
      </c>
      <c r="AO151" s="14">
        <v>45998</v>
      </c>
      <c r="AP151" s="4" t="s">
        <v>61</v>
      </c>
    </row>
    <row r="152" spans="1:42">
      <c r="A152" s="1">
        <v>950</v>
      </c>
      <c r="B152" s="1" t="s">
        <v>784</v>
      </c>
      <c r="C152" s="1" t="s">
        <v>785</v>
      </c>
      <c r="D152" s="1" t="s">
        <v>688</v>
      </c>
      <c r="E152" s="1" t="s">
        <v>45</v>
      </c>
      <c r="F152" s="1">
        <v>69343</v>
      </c>
      <c r="G152" s="1" t="s">
        <v>740</v>
      </c>
      <c r="H152" s="1">
        <v>42.590600000000002</v>
      </c>
      <c r="I152" s="1">
        <v>-102.20305</v>
      </c>
      <c r="J152" s="1" t="s">
        <v>786</v>
      </c>
      <c r="K152" s="1" t="s">
        <v>742</v>
      </c>
      <c r="L152" s="1" t="s">
        <v>49</v>
      </c>
      <c r="M152" s="9">
        <v>1312631</v>
      </c>
      <c r="N152" s="1" t="s">
        <v>50</v>
      </c>
      <c r="O152" s="1" t="s">
        <v>94</v>
      </c>
      <c r="P152" s="1" t="s">
        <v>52</v>
      </c>
      <c r="Q152" s="1" t="s">
        <v>756</v>
      </c>
      <c r="R152" s="9">
        <v>119667350</v>
      </c>
      <c r="S152" s="1" t="s">
        <v>54</v>
      </c>
      <c r="T152" s="1" t="s">
        <v>55</v>
      </c>
      <c r="U152" s="9">
        <v>90</v>
      </c>
      <c r="V152" s="9">
        <v>90</v>
      </c>
      <c r="W152" s="9">
        <v>68</v>
      </c>
      <c r="X152" s="9">
        <v>55</v>
      </c>
      <c r="Y152" s="9">
        <v>156</v>
      </c>
      <c r="Z152" s="9">
        <v>186</v>
      </c>
      <c r="AA152" s="9">
        <v>62</v>
      </c>
      <c r="AB152" s="9">
        <v>31</v>
      </c>
      <c r="AC152" s="9">
        <v>60</v>
      </c>
      <c r="AD152" s="9" t="s">
        <v>69</v>
      </c>
      <c r="AE152" s="9">
        <v>4</v>
      </c>
      <c r="AF152" s="9" t="s">
        <v>236</v>
      </c>
      <c r="AG152" s="2">
        <v>45974</v>
      </c>
      <c r="AH152" s="3">
        <v>0.4513888888888889</v>
      </c>
      <c r="AI152" s="3">
        <v>0.47569444444444442</v>
      </c>
      <c r="AJ152" s="10" t="s">
        <v>301</v>
      </c>
      <c r="AK152" s="8" t="s">
        <v>645</v>
      </c>
      <c r="AL152" s="5" t="s">
        <v>59</v>
      </c>
      <c r="AM152" s="5" t="s">
        <v>59</v>
      </c>
      <c r="AN152" s="5" t="s">
        <v>59</v>
      </c>
      <c r="AO152" s="14">
        <v>45998</v>
      </c>
      <c r="AP152" s="4" t="s">
        <v>61</v>
      </c>
    </row>
    <row r="153" spans="1:42">
      <c r="A153" s="9" t="s">
        <v>787</v>
      </c>
      <c r="B153" s="1" t="s">
        <v>788</v>
      </c>
      <c r="C153" s="1" t="s">
        <v>789</v>
      </c>
      <c r="D153" s="1" t="s">
        <v>739</v>
      </c>
      <c r="E153" s="1" t="s">
        <v>45</v>
      </c>
      <c r="F153" s="1">
        <v>69347</v>
      </c>
      <c r="G153" s="1" t="s">
        <v>790</v>
      </c>
      <c r="H153" s="1">
        <v>42.739440000000002</v>
      </c>
      <c r="I153" s="1">
        <v>-102.69131</v>
      </c>
      <c r="J153" s="1" t="s">
        <v>791</v>
      </c>
      <c r="K153" s="1" t="s">
        <v>742</v>
      </c>
      <c r="L153" s="1" t="s">
        <v>49</v>
      </c>
      <c r="M153" s="9">
        <v>1247094</v>
      </c>
      <c r="N153" s="1" t="s">
        <v>50</v>
      </c>
      <c r="O153" s="1" t="s">
        <v>570</v>
      </c>
      <c r="P153" s="1" t="s">
        <v>52</v>
      </c>
      <c r="Q153" s="1" t="s">
        <v>756</v>
      </c>
      <c r="R153" s="9">
        <v>119668878</v>
      </c>
      <c r="S153" s="1" t="s">
        <v>54</v>
      </c>
      <c r="T153" s="1" t="s">
        <v>55</v>
      </c>
      <c r="U153" s="9">
        <v>82</v>
      </c>
      <c r="V153" s="9">
        <v>215</v>
      </c>
      <c r="W153" s="9">
        <v>265</v>
      </c>
      <c r="X153" s="9">
        <v>150</v>
      </c>
      <c r="Y153" s="9">
        <v>186</v>
      </c>
      <c r="Z153" s="9">
        <v>134</v>
      </c>
      <c r="AA153" s="9">
        <v>54</v>
      </c>
      <c r="AB153" s="9">
        <v>121</v>
      </c>
      <c r="AC153" s="9">
        <v>36</v>
      </c>
      <c r="AD153" s="9" t="s">
        <v>69</v>
      </c>
      <c r="AE153" s="9">
        <v>5</v>
      </c>
      <c r="AF153" s="9" t="s">
        <v>236</v>
      </c>
      <c r="AG153" s="2">
        <v>45972</v>
      </c>
      <c r="AH153" s="3">
        <v>0.55555555555555558</v>
      </c>
      <c r="AI153" s="3">
        <v>0.59305555555555556</v>
      </c>
      <c r="AJ153" s="10" t="s">
        <v>301</v>
      </c>
      <c r="AK153" s="8" t="s">
        <v>645</v>
      </c>
      <c r="AL153" s="5" t="s">
        <v>59</v>
      </c>
      <c r="AM153" s="5" t="s">
        <v>59</v>
      </c>
      <c r="AN153" s="5" t="s">
        <v>59</v>
      </c>
      <c r="AO153" s="14">
        <v>46000</v>
      </c>
      <c r="AP153" s="4" t="s">
        <v>61</v>
      </c>
    </row>
    <row r="154" spans="1:42">
      <c r="A154" s="9" t="s">
        <v>792</v>
      </c>
      <c r="B154" s="1" t="s">
        <v>793</v>
      </c>
      <c r="C154" s="1" t="s">
        <v>789</v>
      </c>
      <c r="D154" s="1" t="s">
        <v>739</v>
      </c>
      <c r="E154" s="1" t="s">
        <v>45</v>
      </c>
      <c r="F154" s="1">
        <v>69347</v>
      </c>
      <c r="G154" s="1" t="s">
        <v>790</v>
      </c>
      <c r="H154" s="1">
        <v>42.739440000000002</v>
      </c>
      <c r="I154" s="1">
        <v>-102.69131</v>
      </c>
      <c r="J154" s="1" t="s">
        <v>791</v>
      </c>
      <c r="K154" s="1" t="s">
        <v>742</v>
      </c>
      <c r="L154" s="1" t="s">
        <v>49</v>
      </c>
      <c r="M154" s="9">
        <v>1247094</v>
      </c>
      <c r="N154" s="1" t="s">
        <v>50</v>
      </c>
      <c r="O154" s="1" t="s">
        <v>570</v>
      </c>
      <c r="P154" s="1" t="s">
        <v>52</v>
      </c>
      <c r="Q154" s="1" t="s">
        <v>756</v>
      </c>
      <c r="R154" s="9">
        <v>1439</v>
      </c>
      <c r="S154" s="1" t="s">
        <v>54</v>
      </c>
      <c r="T154" s="1" t="s">
        <v>55</v>
      </c>
      <c r="U154" s="9">
        <v>300</v>
      </c>
      <c r="V154" s="9">
        <v>70</v>
      </c>
      <c r="W154" s="9">
        <v>216</v>
      </c>
      <c r="X154" s="9">
        <v>294</v>
      </c>
      <c r="Y154" s="9">
        <v>324</v>
      </c>
      <c r="Z154" s="9">
        <v>372</v>
      </c>
      <c r="AA154" s="9">
        <v>72</v>
      </c>
      <c r="AB154" s="9">
        <v>324</v>
      </c>
      <c r="AC154" s="9">
        <v>40</v>
      </c>
      <c r="AD154" s="9" t="s">
        <v>69</v>
      </c>
      <c r="AE154" s="9">
        <v>5</v>
      </c>
      <c r="AF154" s="9" t="s">
        <v>236</v>
      </c>
      <c r="AG154" s="2">
        <v>45972</v>
      </c>
      <c r="AH154" s="3">
        <v>0.55555555555555558</v>
      </c>
      <c r="AI154" s="3">
        <v>0.59305555555555556</v>
      </c>
      <c r="AJ154" s="10" t="s">
        <v>301</v>
      </c>
      <c r="AK154" s="8" t="s">
        <v>645</v>
      </c>
      <c r="AL154" s="5" t="s">
        <v>59</v>
      </c>
      <c r="AM154" s="5" t="s">
        <v>59</v>
      </c>
      <c r="AN154" s="5" t="s">
        <v>59</v>
      </c>
      <c r="AO154" s="14">
        <v>46000</v>
      </c>
      <c r="AP154" s="4" t="s">
        <v>61</v>
      </c>
    </row>
    <row r="155" spans="1:42">
      <c r="A155" s="9" t="s">
        <v>794</v>
      </c>
      <c r="B155" s="1" t="s">
        <v>795</v>
      </c>
      <c r="C155" s="1" t="s">
        <v>796</v>
      </c>
      <c r="D155" s="1" t="s">
        <v>688</v>
      </c>
      <c r="E155" s="1" t="s">
        <v>45</v>
      </c>
      <c r="F155" s="1">
        <v>69343</v>
      </c>
      <c r="G155" s="1" t="s">
        <v>790</v>
      </c>
      <c r="H155" s="1">
        <v>42.769469999999998</v>
      </c>
      <c r="I155" s="1">
        <v>-102.20322</v>
      </c>
      <c r="J155" s="1" t="s">
        <v>797</v>
      </c>
      <c r="K155" s="1" t="s">
        <v>742</v>
      </c>
      <c r="L155" s="1" t="s">
        <v>49</v>
      </c>
      <c r="M155" s="9">
        <v>1246808</v>
      </c>
      <c r="N155" s="1" t="s">
        <v>50</v>
      </c>
      <c r="O155" s="1" t="s">
        <v>570</v>
      </c>
      <c r="P155" s="1" t="s">
        <v>52</v>
      </c>
      <c r="Q155" s="1" t="s">
        <v>756</v>
      </c>
      <c r="R155" s="9">
        <v>119668131</v>
      </c>
      <c r="S155" s="1" t="s">
        <v>54</v>
      </c>
      <c r="T155" s="1" t="s">
        <v>55</v>
      </c>
      <c r="U155" s="9">
        <v>100</v>
      </c>
      <c r="V155" s="9">
        <v>63</v>
      </c>
      <c r="W155" s="9">
        <v>75</v>
      </c>
      <c r="X155" s="9">
        <v>220</v>
      </c>
      <c r="Y155" s="9">
        <v>190</v>
      </c>
      <c r="Z155" s="9">
        <v>220</v>
      </c>
      <c r="AA155" s="9">
        <v>64</v>
      </c>
      <c r="AB155" s="9">
        <v>220</v>
      </c>
      <c r="AC155" s="9">
        <v>107</v>
      </c>
      <c r="AD155" s="9" t="s">
        <v>69</v>
      </c>
      <c r="AE155" s="9">
        <v>4.5</v>
      </c>
      <c r="AF155" s="9" t="s">
        <v>236</v>
      </c>
      <c r="AG155" s="2">
        <v>45973</v>
      </c>
      <c r="AH155" s="3">
        <v>0.56874999999999998</v>
      </c>
      <c r="AI155" s="3">
        <v>0.60416666666666663</v>
      </c>
      <c r="AJ155" s="10" t="s">
        <v>301</v>
      </c>
      <c r="AK155" s="8" t="s">
        <v>645</v>
      </c>
      <c r="AL155" s="5" t="s">
        <v>59</v>
      </c>
      <c r="AM155" s="5" t="s">
        <v>59</v>
      </c>
      <c r="AN155" s="5" t="s">
        <v>59</v>
      </c>
      <c r="AO155" s="14">
        <v>46000</v>
      </c>
      <c r="AP155" s="4" t="s">
        <v>61</v>
      </c>
    </row>
    <row r="156" spans="1:42">
      <c r="A156" s="9" t="s">
        <v>798</v>
      </c>
      <c r="B156" s="1" t="s">
        <v>799</v>
      </c>
      <c r="C156" s="1" t="s">
        <v>796</v>
      </c>
      <c r="D156" s="1" t="s">
        <v>688</v>
      </c>
      <c r="E156" s="1" t="s">
        <v>45</v>
      </c>
      <c r="F156" s="1">
        <v>69343</v>
      </c>
      <c r="G156" s="1" t="s">
        <v>790</v>
      </c>
      <c r="H156" s="1">
        <v>42.769469999999998</v>
      </c>
      <c r="I156" s="1">
        <v>-102.20322</v>
      </c>
      <c r="J156" s="1" t="s">
        <v>797</v>
      </c>
      <c r="K156" s="1" t="s">
        <v>742</v>
      </c>
      <c r="L156" s="1" t="s">
        <v>49</v>
      </c>
      <c r="M156" s="9">
        <v>1246808</v>
      </c>
      <c r="N156" s="1" t="s">
        <v>50</v>
      </c>
      <c r="O156" s="1" t="s">
        <v>570</v>
      </c>
      <c r="P156" s="1" t="s">
        <v>52</v>
      </c>
      <c r="Q156" s="1" t="s">
        <v>756</v>
      </c>
      <c r="R156" s="9">
        <v>119668131</v>
      </c>
      <c r="S156" s="1" t="s">
        <v>54</v>
      </c>
      <c r="T156" s="1" t="s">
        <v>55</v>
      </c>
      <c r="U156" s="9">
        <v>55</v>
      </c>
      <c r="V156" s="9">
        <v>150</v>
      </c>
      <c r="W156" s="9">
        <v>200</v>
      </c>
      <c r="X156" s="9">
        <v>200</v>
      </c>
      <c r="Y156" s="9">
        <v>195</v>
      </c>
      <c r="Z156" s="9" t="s">
        <v>69</v>
      </c>
      <c r="AA156" s="9" t="s">
        <v>69</v>
      </c>
      <c r="AB156" s="9">
        <v>172</v>
      </c>
      <c r="AC156" s="9">
        <v>75</v>
      </c>
      <c r="AD156" s="9" t="s">
        <v>69</v>
      </c>
      <c r="AE156" s="9">
        <v>4.5</v>
      </c>
      <c r="AF156" s="9" t="s">
        <v>236</v>
      </c>
      <c r="AG156" s="2">
        <v>45973</v>
      </c>
      <c r="AH156" s="3">
        <v>0.56874999999999998</v>
      </c>
      <c r="AI156" s="3">
        <v>0.60416666666666663</v>
      </c>
      <c r="AJ156" s="10" t="s">
        <v>301</v>
      </c>
      <c r="AK156" s="8" t="s">
        <v>645</v>
      </c>
      <c r="AL156" s="5" t="s">
        <v>59</v>
      </c>
      <c r="AM156" s="5" t="s">
        <v>59</v>
      </c>
      <c r="AN156" s="5" t="s">
        <v>59</v>
      </c>
      <c r="AO156" s="14">
        <v>46000</v>
      </c>
      <c r="AP156" s="4" t="s">
        <v>61</v>
      </c>
    </row>
    <row r="157" spans="1:42">
      <c r="A157" s="1">
        <v>28</v>
      </c>
      <c r="B157" s="1" t="s">
        <v>800</v>
      </c>
      <c r="C157" s="1" t="s">
        <v>801</v>
      </c>
      <c r="D157" s="1" t="s">
        <v>802</v>
      </c>
      <c r="E157" s="1" t="s">
        <v>45</v>
      </c>
      <c r="F157" s="1">
        <v>68803</v>
      </c>
      <c r="G157" s="1" t="s">
        <v>803</v>
      </c>
      <c r="H157" s="1">
        <v>40.953749999999999</v>
      </c>
      <c r="I157" s="1">
        <v>-98.397069999999999</v>
      </c>
      <c r="J157" s="1" t="s">
        <v>804</v>
      </c>
      <c r="K157" s="1" t="s">
        <v>805</v>
      </c>
      <c r="L157" s="1" t="s">
        <v>49</v>
      </c>
      <c r="M157" s="9">
        <v>1312429</v>
      </c>
      <c r="N157" s="1" t="s">
        <v>50</v>
      </c>
      <c r="O157" s="1" t="s">
        <v>806</v>
      </c>
      <c r="P157" s="1" t="s">
        <v>52</v>
      </c>
      <c r="Q157" s="1" t="s">
        <v>807</v>
      </c>
      <c r="R157" s="9">
        <v>159288455</v>
      </c>
      <c r="S157" s="1" t="s">
        <v>54</v>
      </c>
      <c r="T157" s="1" t="s">
        <v>55</v>
      </c>
      <c r="U157" s="9">
        <v>84</v>
      </c>
      <c r="V157" s="9">
        <v>186</v>
      </c>
      <c r="W157" s="9">
        <v>252</v>
      </c>
      <c r="X157" s="9">
        <v>88</v>
      </c>
      <c r="Y157" s="9">
        <v>274</v>
      </c>
      <c r="Z157" s="9">
        <v>64</v>
      </c>
      <c r="AA157" s="9">
        <v>142</v>
      </c>
      <c r="AB157" s="9">
        <v>231</v>
      </c>
      <c r="AC157" s="9">
        <v>120</v>
      </c>
      <c r="AD157" s="9" t="s">
        <v>69</v>
      </c>
      <c r="AE157" s="9">
        <v>4</v>
      </c>
      <c r="AF157" s="9" t="s">
        <v>236</v>
      </c>
      <c r="AG157" s="2">
        <v>46000</v>
      </c>
      <c r="AH157" s="3">
        <v>0.39513888888888887</v>
      </c>
      <c r="AI157" s="3">
        <v>0.41180555555555554</v>
      </c>
      <c r="AJ157" s="10" t="s">
        <v>301</v>
      </c>
      <c r="AK157" s="8" t="s">
        <v>685</v>
      </c>
      <c r="AM157" s="5"/>
      <c r="AN157" s="5"/>
      <c r="AO157" s="14"/>
      <c r="AP157" s="4"/>
    </row>
    <row r="158" spans="1:42">
      <c r="A158" s="1">
        <v>78</v>
      </c>
      <c r="B158" s="1" t="s">
        <v>808</v>
      </c>
      <c r="C158" s="1" t="s">
        <v>809</v>
      </c>
      <c r="D158" s="1" t="s">
        <v>810</v>
      </c>
      <c r="E158" s="1" t="s">
        <v>45</v>
      </c>
      <c r="F158" s="1">
        <v>68778</v>
      </c>
      <c r="G158" s="1" t="s">
        <v>448</v>
      </c>
      <c r="H158" s="1">
        <v>42.824840000000002</v>
      </c>
      <c r="I158" s="1">
        <v>-99.746549999999999</v>
      </c>
      <c r="J158" s="1" t="s">
        <v>811</v>
      </c>
      <c r="K158" s="1" t="s">
        <v>805</v>
      </c>
      <c r="L158" s="1" t="s">
        <v>49</v>
      </c>
      <c r="M158" s="9">
        <v>1264036</v>
      </c>
      <c r="N158" s="1" t="s">
        <v>50</v>
      </c>
      <c r="O158" s="1" t="s">
        <v>812</v>
      </c>
      <c r="P158" s="1" t="s">
        <v>153</v>
      </c>
      <c r="Q158" s="1" t="s">
        <v>358</v>
      </c>
      <c r="R158" s="9" t="s">
        <v>299</v>
      </c>
      <c r="S158" s="1" t="s">
        <v>54</v>
      </c>
      <c r="T158" s="1" t="s">
        <v>55</v>
      </c>
      <c r="AF158" s="9" t="s">
        <v>353</v>
      </c>
      <c r="AG158" s="2">
        <v>45984</v>
      </c>
      <c r="AH158" s="3">
        <v>0.49513888888888891</v>
      </c>
      <c r="AI158" s="3">
        <v>0.54374999999999996</v>
      </c>
      <c r="AJ158" s="10" t="s">
        <v>301</v>
      </c>
      <c r="AK158" s="8"/>
      <c r="AM158" s="5"/>
      <c r="AN158" s="5"/>
      <c r="AO158" s="14"/>
      <c r="AP158" s="4"/>
    </row>
    <row r="159" spans="1:42">
      <c r="A159" s="1">
        <v>113</v>
      </c>
      <c r="B159" s="1" t="s">
        <v>813</v>
      </c>
      <c r="C159" s="1" t="s">
        <v>814</v>
      </c>
      <c r="D159" s="1" t="s">
        <v>810</v>
      </c>
      <c r="E159" s="1" t="s">
        <v>45</v>
      </c>
      <c r="F159" s="1">
        <v>68778</v>
      </c>
      <c r="G159" s="1" t="s">
        <v>448</v>
      </c>
      <c r="H159" s="1">
        <v>42.951320000000003</v>
      </c>
      <c r="I159" s="1">
        <v>-100.01797999999999</v>
      </c>
      <c r="J159" s="1" t="s">
        <v>815</v>
      </c>
      <c r="K159" s="1" t="s">
        <v>805</v>
      </c>
      <c r="L159" s="1" t="s">
        <v>49</v>
      </c>
      <c r="M159" s="9">
        <v>1297069</v>
      </c>
      <c r="N159" s="1" t="s">
        <v>50</v>
      </c>
      <c r="O159" s="1" t="s">
        <v>816</v>
      </c>
      <c r="P159" s="1" t="s">
        <v>52</v>
      </c>
      <c r="Q159" s="1" t="s">
        <v>817</v>
      </c>
      <c r="R159" s="9">
        <v>109123497</v>
      </c>
      <c r="S159" s="1" t="s">
        <v>54</v>
      </c>
      <c r="T159" s="1" t="s">
        <v>55</v>
      </c>
      <c r="U159" s="9">
        <v>84</v>
      </c>
      <c r="V159" s="9">
        <v>156</v>
      </c>
      <c r="W159" s="9">
        <v>54</v>
      </c>
      <c r="X159" s="9">
        <v>50</v>
      </c>
      <c r="Y159" s="9">
        <v>240</v>
      </c>
      <c r="Z159" s="9">
        <v>48</v>
      </c>
      <c r="AA159" s="9">
        <v>84</v>
      </c>
      <c r="AB159" s="9">
        <v>36</v>
      </c>
      <c r="AC159" s="9">
        <v>92</v>
      </c>
      <c r="AD159" s="9" t="s">
        <v>69</v>
      </c>
      <c r="AE159" s="9" t="s">
        <v>69</v>
      </c>
      <c r="AF159" s="9" t="s">
        <v>353</v>
      </c>
      <c r="AG159" s="2">
        <v>45984</v>
      </c>
      <c r="AH159" s="3">
        <v>0.31736111111111109</v>
      </c>
      <c r="AI159" s="3">
        <v>0.36041666666666666</v>
      </c>
      <c r="AJ159" s="10" t="s">
        <v>301</v>
      </c>
      <c r="AK159" s="8" t="s">
        <v>253</v>
      </c>
      <c r="AL159" s="5" t="s">
        <v>59</v>
      </c>
      <c r="AM159" s="5" t="s">
        <v>59</v>
      </c>
      <c r="AN159" s="5" t="s">
        <v>59</v>
      </c>
      <c r="AO159" s="14">
        <v>46000</v>
      </c>
      <c r="AP159" s="4" t="s">
        <v>61</v>
      </c>
    </row>
    <row r="160" spans="1:42">
      <c r="A160" s="1">
        <v>206</v>
      </c>
      <c r="B160" s="1" t="s">
        <v>818</v>
      </c>
      <c r="C160" s="1" t="s">
        <v>819</v>
      </c>
      <c r="D160" s="1" t="s">
        <v>820</v>
      </c>
      <c r="E160" s="1" t="s">
        <v>45</v>
      </c>
      <c r="F160" s="1">
        <v>69210</v>
      </c>
      <c r="G160" s="1" t="s">
        <v>821</v>
      </c>
      <c r="H160" s="1">
        <v>42.549528000000002</v>
      </c>
      <c r="I160" s="1">
        <v>-99.863</v>
      </c>
      <c r="J160" s="1" t="s">
        <v>822</v>
      </c>
      <c r="K160" s="1" t="s">
        <v>805</v>
      </c>
      <c r="L160" s="1" t="s">
        <v>49</v>
      </c>
      <c r="M160" s="9">
        <v>1292430</v>
      </c>
      <c r="N160" s="1" t="s">
        <v>50</v>
      </c>
      <c r="O160" s="1" t="s">
        <v>816</v>
      </c>
      <c r="P160" s="1" t="s">
        <v>52</v>
      </c>
      <c r="Q160" s="1" t="s">
        <v>690</v>
      </c>
      <c r="R160" s="9">
        <v>154331372</v>
      </c>
      <c r="S160" s="1" t="s">
        <v>54</v>
      </c>
      <c r="T160" s="1" t="s">
        <v>55</v>
      </c>
      <c r="U160" s="9">
        <v>48</v>
      </c>
      <c r="V160" s="9">
        <v>60</v>
      </c>
      <c r="W160" s="9">
        <v>120</v>
      </c>
      <c r="X160" s="9">
        <v>72</v>
      </c>
      <c r="Y160" s="9">
        <v>160</v>
      </c>
      <c r="Z160" s="9">
        <v>120</v>
      </c>
      <c r="AA160" s="9">
        <v>228</v>
      </c>
      <c r="AB160" s="9">
        <v>120</v>
      </c>
      <c r="AC160" s="9">
        <v>24</v>
      </c>
      <c r="AD160" s="9" t="s">
        <v>69</v>
      </c>
      <c r="AE160" s="9">
        <v>14</v>
      </c>
      <c r="AF160" s="9" t="s">
        <v>353</v>
      </c>
      <c r="AG160" s="2">
        <v>45984</v>
      </c>
      <c r="AH160" s="3">
        <v>0.63611111111111107</v>
      </c>
      <c r="AI160" s="3">
        <v>0.67222222222222228</v>
      </c>
      <c r="AJ160" s="10" t="s">
        <v>301</v>
      </c>
      <c r="AK160" s="8" t="s">
        <v>253</v>
      </c>
      <c r="AL160" s="5" t="s">
        <v>59</v>
      </c>
      <c r="AM160" s="5" t="s">
        <v>59</v>
      </c>
      <c r="AN160" s="5" t="s">
        <v>59</v>
      </c>
      <c r="AO160" s="14">
        <v>46000</v>
      </c>
      <c r="AP160" s="4" t="s">
        <v>61</v>
      </c>
    </row>
    <row r="161" spans="1:42">
      <c r="A161" s="1">
        <v>253</v>
      </c>
      <c r="B161" s="1" t="s">
        <v>823</v>
      </c>
      <c r="C161" s="1" t="s">
        <v>824</v>
      </c>
      <c r="D161" s="1" t="s">
        <v>825</v>
      </c>
      <c r="E161" s="1" t="s">
        <v>45</v>
      </c>
      <c r="F161" s="1">
        <v>68701</v>
      </c>
      <c r="G161" s="1" t="s">
        <v>826</v>
      </c>
      <c r="H161" s="1">
        <v>42.037027000000002</v>
      </c>
      <c r="I161" s="1">
        <v>-97.446382</v>
      </c>
      <c r="J161" s="1" t="s">
        <v>827</v>
      </c>
      <c r="K161" s="1" t="s">
        <v>805</v>
      </c>
      <c r="L161" s="1" t="s">
        <v>49</v>
      </c>
      <c r="M161" s="9" t="s">
        <v>682</v>
      </c>
      <c r="N161" s="1" t="s">
        <v>828</v>
      </c>
      <c r="O161" s="1" t="s">
        <v>816</v>
      </c>
      <c r="P161" s="1" t="s">
        <v>52</v>
      </c>
      <c r="Q161" s="1" t="s">
        <v>690</v>
      </c>
      <c r="R161" s="9">
        <v>158710810</v>
      </c>
      <c r="S161" s="1" t="s">
        <v>54</v>
      </c>
      <c r="T161" s="1" t="s">
        <v>55</v>
      </c>
      <c r="U161" s="9">
        <v>78</v>
      </c>
      <c r="V161" s="9">
        <v>48</v>
      </c>
      <c r="W161" s="9">
        <v>10</v>
      </c>
      <c r="X161" s="9">
        <v>10</v>
      </c>
      <c r="Y161" s="9">
        <v>48</v>
      </c>
      <c r="Z161" s="9">
        <v>30</v>
      </c>
      <c r="AA161" s="9">
        <v>55</v>
      </c>
      <c r="AB161" s="9">
        <v>45</v>
      </c>
      <c r="AC161" s="9">
        <v>12</v>
      </c>
      <c r="AD161" s="9" t="s">
        <v>69</v>
      </c>
      <c r="AE161" s="9">
        <v>4</v>
      </c>
      <c r="AF161" s="9" t="s">
        <v>236</v>
      </c>
      <c r="AG161" s="2">
        <v>46001</v>
      </c>
      <c r="AH161" s="3">
        <v>0.49583333333333335</v>
      </c>
      <c r="AI161" s="3">
        <v>0.53055555555555556</v>
      </c>
      <c r="AJ161" s="10" t="s">
        <v>301</v>
      </c>
      <c r="AK161" s="8" t="s">
        <v>685</v>
      </c>
      <c r="AM161" s="5"/>
      <c r="AN161" s="5"/>
      <c r="AO161" s="14"/>
      <c r="AP161" s="4"/>
    </row>
    <row r="162" spans="1:42">
      <c r="A162" s="1">
        <v>312</v>
      </c>
      <c r="B162" s="1" t="s">
        <v>829</v>
      </c>
      <c r="C162" s="1" t="s">
        <v>830</v>
      </c>
      <c r="D162" s="1" t="s">
        <v>831</v>
      </c>
      <c r="E162" s="1" t="s">
        <v>45</v>
      </c>
      <c r="F162" s="1">
        <v>69217</v>
      </c>
      <c r="G162" s="1" t="s">
        <v>821</v>
      </c>
      <c r="H162" s="1">
        <v>42.531700000000001</v>
      </c>
      <c r="I162" s="1">
        <v>-99.706450000000004</v>
      </c>
      <c r="J162" s="1" t="s">
        <v>832</v>
      </c>
      <c r="K162" s="1" t="s">
        <v>805</v>
      </c>
      <c r="L162" s="1" t="s">
        <v>49</v>
      </c>
      <c r="M162" s="9">
        <v>1275797</v>
      </c>
      <c r="N162" s="1" t="s">
        <v>50</v>
      </c>
      <c r="O162" s="1" t="s">
        <v>816</v>
      </c>
      <c r="P162" s="1" t="s">
        <v>52</v>
      </c>
      <c r="Q162" s="1" t="s">
        <v>358</v>
      </c>
      <c r="R162" s="9">
        <v>146465728</v>
      </c>
      <c r="S162" s="1" t="s">
        <v>54</v>
      </c>
      <c r="T162" s="1" t="s">
        <v>55</v>
      </c>
      <c r="U162" s="9" t="s">
        <v>69</v>
      </c>
      <c r="V162" s="9" t="s">
        <v>69</v>
      </c>
      <c r="W162" s="9" t="s">
        <v>69</v>
      </c>
      <c r="X162" s="9" t="s">
        <v>69</v>
      </c>
      <c r="Y162" s="9" t="s">
        <v>69</v>
      </c>
      <c r="Z162" s="9" t="s">
        <v>69</v>
      </c>
      <c r="AA162" s="9" t="s">
        <v>69</v>
      </c>
      <c r="AB162" s="9" t="s">
        <v>69</v>
      </c>
      <c r="AC162" s="9" t="s">
        <v>69</v>
      </c>
      <c r="AD162" s="9" t="s">
        <v>69</v>
      </c>
      <c r="AE162" s="9" t="s">
        <v>69</v>
      </c>
      <c r="AF162" s="9" t="s">
        <v>353</v>
      </c>
      <c r="AG162" s="2">
        <v>45984</v>
      </c>
      <c r="AH162" s="3">
        <v>0.56041666666666667</v>
      </c>
      <c r="AI162" s="3">
        <v>0.58888888888888891</v>
      </c>
      <c r="AJ162" s="10" t="s">
        <v>301</v>
      </c>
      <c r="AK162" s="8" t="s">
        <v>253</v>
      </c>
      <c r="AM162" s="5"/>
      <c r="AN162" s="5"/>
      <c r="AO162" s="14"/>
      <c r="AP162" s="4"/>
    </row>
    <row r="163" spans="1:42">
      <c r="A163" s="1">
        <v>325</v>
      </c>
      <c r="B163" s="1" t="s">
        <v>833</v>
      </c>
      <c r="C163" s="1" t="s">
        <v>834</v>
      </c>
      <c r="D163" s="1" t="s">
        <v>835</v>
      </c>
      <c r="E163" s="1" t="s">
        <v>45</v>
      </c>
      <c r="F163" s="1">
        <v>69120</v>
      </c>
      <c r="G163" s="1" t="s">
        <v>351</v>
      </c>
      <c r="H163" s="1">
        <v>41.428240000000002</v>
      </c>
      <c r="I163" s="1">
        <v>-100.18774000000001</v>
      </c>
      <c r="J163" s="1" t="s">
        <v>836</v>
      </c>
      <c r="K163" s="1" t="s">
        <v>805</v>
      </c>
      <c r="L163" s="1" t="s">
        <v>49</v>
      </c>
      <c r="M163" s="9">
        <v>1247094</v>
      </c>
      <c r="N163" s="1" t="s">
        <v>50</v>
      </c>
      <c r="O163" s="1" t="s">
        <v>816</v>
      </c>
      <c r="P163" s="1" t="s">
        <v>52</v>
      </c>
      <c r="Q163" s="1" t="s">
        <v>690</v>
      </c>
      <c r="R163" s="9">
        <v>337380722</v>
      </c>
      <c r="S163" s="1" t="s">
        <v>54</v>
      </c>
      <c r="T163" s="1" t="s">
        <v>55</v>
      </c>
      <c r="U163" s="9">
        <v>60</v>
      </c>
      <c r="V163" s="9">
        <v>160</v>
      </c>
      <c r="W163" s="9">
        <v>204</v>
      </c>
      <c r="X163" s="9">
        <v>90</v>
      </c>
      <c r="Y163" s="9">
        <v>207</v>
      </c>
      <c r="Z163" s="9">
        <v>60</v>
      </c>
      <c r="AA163" s="9">
        <v>24</v>
      </c>
      <c r="AB163" s="9">
        <v>30</v>
      </c>
      <c r="AC163" s="9">
        <v>100</v>
      </c>
      <c r="AD163" s="9" t="s">
        <v>69</v>
      </c>
      <c r="AE163" s="9" t="s">
        <v>69</v>
      </c>
      <c r="AF163" s="9" t="s">
        <v>353</v>
      </c>
      <c r="AG163" s="2">
        <v>45985</v>
      </c>
      <c r="AH163" s="3">
        <v>0.51111111111111107</v>
      </c>
      <c r="AI163" s="3">
        <v>0.53263888888888888</v>
      </c>
      <c r="AJ163" s="10" t="s">
        <v>301</v>
      </c>
      <c r="AK163" s="8" t="s">
        <v>546</v>
      </c>
      <c r="AL163" s="5" t="s">
        <v>59</v>
      </c>
      <c r="AM163" s="5" t="s">
        <v>59</v>
      </c>
      <c r="AN163" s="5" t="s">
        <v>59</v>
      </c>
      <c r="AO163" s="14">
        <v>46000</v>
      </c>
      <c r="AP163" s="4" t="s">
        <v>61</v>
      </c>
    </row>
    <row r="164" spans="1:42">
      <c r="A164" s="1">
        <v>374</v>
      </c>
      <c r="B164" s="1" t="s">
        <v>837</v>
      </c>
      <c r="C164" s="1" t="s">
        <v>838</v>
      </c>
      <c r="D164" s="1" t="s">
        <v>839</v>
      </c>
      <c r="E164" s="1" t="s">
        <v>45</v>
      </c>
      <c r="F164" s="1">
        <v>68813</v>
      </c>
      <c r="G164" s="1" t="s">
        <v>351</v>
      </c>
      <c r="H164" s="1">
        <v>41.66292</v>
      </c>
      <c r="I164" s="1">
        <v>-99.693060000000003</v>
      </c>
      <c r="J164" s="1" t="s">
        <v>840</v>
      </c>
      <c r="K164" s="1" t="s">
        <v>805</v>
      </c>
      <c r="L164" s="1" t="s">
        <v>49</v>
      </c>
      <c r="M164" s="9">
        <v>1302290</v>
      </c>
      <c r="N164" s="1" t="s">
        <v>50</v>
      </c>
      <c r="O164" s="1" t="s">
        <v>816</v>
      </c>
      <c r="P164" s="1" t="s">
        <v>52</v>
      </c>
      <c r="Q164" s="1" t="s">
        <v>100</v>
      </c>
      <c r="R164" s="9">
        <v>334980804</v>
      </c>
      <c r="S164" s="1" t="s">
        <v>54</v>
      </c>
      <c r="T164" s="1" t="s">
        <v>55</v>
      </c>
      <c r="U164" s="9">
        <v>74</v>
      </c>
      <c r="V164" s="9">
        <v>204</v>
      </c>
      <c r="W164" s="9">
        <v>90</v>
      </c>
      <c r="X164" s="9">
        <v>120</v>
      </c>
      <c r="Y164" s="9">
        <v>174</v>
      </c>
      <c r="Z164" s="9">
        <v>42</v>
      </c>
      <c r="AA164" s="9">
        <v>30</v>
      </c>
      <c r="AB164" s="9">
        <v>108</v>
      </c>
      <c r="AC164" s="9">
        <v>90</v>
      </c>
      <c r="AD164" s="9" t="s">
        <v>69</v>
      </c>
      <c r="AE164" s="9" t="s">
        <v>69</v>
      </c>
      <c r="AF164" s="9" t="s">
        <v>353</v>
      </c>
      <c r="AG164" s="2">
        <v>45985</v>
      </c>
      <c r="AH164" s="3">
        <v>0.37361111111111112</v>
      </c>
      <c r="AI164" s="3">
        <v>0.3972222222222222</v>
      </c>
      <c r="AJ164" s="10" t="s">
        <v>301</v>
      </c>
      <c r="AK164" s="8" t="s">
        <v>253</v>
      </c>
      <c r="AL164" s="5" t="s">
        <v>59</v>
      </c>
      <c r="AM164" s="5" t="s">
        <v>59</v>
      </c>
      <c r="AN164" s="5" t="s">
        <v>59</v>
      </c>
      <c r="AO164" s="14">
        <v>46000</v>
      </c>
      <c r="AP164" s="4" t="s">
        <v>61</v>
      </c>
    </row>
    <row r="165" spans="1:42">
      <c r="A165" s="1">
        <v>376</v>
      </c>
      <c r="B165" s="1" t="s">
        <v>841</v>
      </c>
      <c r="C165" s="1" t="s">
        <v>842</v>
      </c>
      <c r="D165" s="1" t="s">
        <v>835</v>
      </c>
      <c r="E165" s="1" t="s">
        <v>45</v>
      </c>
      <c r="F165" s="1">
        <v>69120</v>
      </c>
      <c r="G165" s="1" t="s">
        <v>351</v>
      </c>
      <c r="H165" s="1">
        <v>41.458629999999999</v>
      </c>
      <c r="I165" s="1">
        <v>-100.19221</v>
      </c>
      <c r="J165" s="1" t="s">
        <v>843</v>
      </c>
      <c r="K165" s="1" t="s">
        <v>805</v>
      </c>
      <c r="L165" s="1" t="s">
        <v>49</v>
      </c>
      <c r="M165" s="9">
        <v>1272618</v>
      </c>
      <c r="N165" s="1" t="s">
        <v>50</v>
      </c>
      <c r="O165" s="1" t="s">
        <v>844</v>
      </c>
      <c r="P165" s="1" t="s">
        <v>52</v>
      </c>
      <c r="Q165" s="1" t="s">
        <v>690</v>
      </c>
      <c r="R165" s="9">
        <v>337956882</v>
      </c>
      <c r="S165" s="1" t="s">
        <v>54</v>
      </c>
      <c r="T165" s="1" t="s">
        <v>55</v>
      </c>
      <c r="U165" s="9">
        <v>74</v>
      </c>
      <c r="V165" s="9">
        <v>180</v>
      </c>
      <c r="W165" s="9">
        <v>78</v>
      </c>
      <c r="X165" s="9">
        <v>60</v>
      </c>
      <c r="Y165" s="9">
        <v>205</v>
      </c>
      <c r="Z165" s="9">
        <v>50</v>
      </c>
      <c r="AA165" s="9">
        <v>58</v>
      </c>
      <c r="AB165" s="9">
        <v>84</v>
      </c>
      <c r="AC165" s="9">
        <v>110</v>
      </c>
      <c r="AD165" s="9" t="s">
        <v>69</v>
      </c>
      <c r="AE165" s="9" t="s">
        <v>69</v>
      </c>
      <c r="AF165" s="9" t="s">
        <v>353</v>
      </c>
      <c r="AG165" s="2">
        <v>45985</v>
      </c>
      <c r="AH165" s="3">
        <v>0.49027777777777776</v>
      </c>
      <c r="AI165" s="3">
        <v>0.51944444444444449</v>
      </c>
      <c r="AJ165" s="10" t="s">
        <v>301</v>
      </c>
      <c r="AK165" s="8" t="s">
        <v>546</v>
      </c>
      <c r="AL165" s="5" t="s">
        <v>59</v>
      </c>
      <c r="AM165" s="5" t="s">
        <v>59</v>
      </c>
      <c r="AN165" s="5" t="s">
        <v>59</v>
      </c>
      <c r="AO165" s="14">
        <v>46000</v>
      </c>
      <c r="AP165" s="4" t="s">
        <v>61</v>
      </c>
    </row>
    <row r="166" spans="1:42">
      <c r="A166" s="1">
        <v>418</v>
      </c>
      <c r="B166" s="1" t="s">
        <v>845</v>
      </c>
      <c r="C166" s="1" t="s">
        <v>846</v>
      </c>
      <c r="D166" s="1" t="s">
        <v>847</v>
      </c>
      <c r="E166" s="1" t="s">
        <v>45</v>
      </c>
      <c r="F166" s="1">
        <v>69214</v>
      </c>
      <c r="G166" s="1" t="s">
        <v>821</v>
      </c>
      <c r="H166" s="1">
        <v>42.580199999999998</v>
      </c>
      <c r="I166" s="1">
        <v>-100.11554</v>
      </c>
      <c r="J166" s="1" t="s">
        <v>848</v>
      </c>
      <c r="K166" s="1" t="s">
        <v>805</v>
      </c>
      <c r="L166" s="1" t="s">
        <v>49</v>
      </c>
      <c r="M166" s="9">
        <v>1260855</v>
      </c>
      <c r="N166" s="1" t="s">
        <v>50</v>
      </c>
      <c r="O166" s="1" t="s">
        <v>844</v>
      </c>
      <c r="P166" s="1" t="s">
        <v>52</v>
      </c>
      <c r="Q166" s="1" t="s">
        <v>358</v>
      </c>
      <c r="R166" s="9">
        <v>107312761</v>
      </c>
      <c r="S166" s="1" t="s">
        <v>54</v>
      </c>
      <c r="T166" s="1" t="s">
        <v>55</v>
      </c>
      <c r="U166" s="9">
        <v>80</v>
      </c>
      <c r="V166" s="9">
        <v>144</v>
      </c>
      <c r="W166" s="9">
        <v>96</v>
      </c>
      <c r="X166" s="9">
        <v>72</v>
      </c>
      <c r="Y166" s="9">
        <v>144</v>
      </c>
      <c r="Z166" s="9">
        <v>90</v>
      </c>
      <c r="AA166" s="9">
        <v>64</v>
      </c>
      <c r="AB166" s="9">
        <v>84</v>
      </c>
      <c r="AC166" s="9">
        <v>87</v>
      </c>
      <c r="AD166" s="9" t="s">
        <v>69</v>
      </c>
      <c r="AE166" s="9" t="s">
        <v>69</v>
      </c>
      <c r="AF166" s="9" t="s">
        <v>353</v>
      </c>
      <c r="AG166" s="2">
        <v>45984</v>
      </c>
      <c r="AH166" s="3">
        <v>0.60555555555555551</v>
      </c>
      <c r="AI166" s="3">
        <v>0.63055555555555554</v>
      </c>
      <c r="AJ166" s="10" t="s">
        <v>301</v>
      </c>
      <c r="AK166" s="8" t="s">
        <v>253</v>
      </c>
      <c r="AL166" s="5" t="s">
        <v>59</v>
      </c>
      <c r="AM166" s="5" t="s">
        <v>59</v>
      </c>
      <c r="AN166" s="5" t="s">
        <v>59</v>
      </c>
      <c r="AO166" s="14">
        <v>46000</v>
      </c>
      <c r="AP166" s="4" t="s">
        <v>61</v>
      </c>
    </row>
    <row r="167" spans="1:42">
      <c r="A167" s="1">
        <v>436</v>
      </c>
      <c r="B167" s="1" t="s">
        <v>849</v>
      </c>
      <c r="C167" s="1" t="s">
        <v>850</v>
      </c>
      <c r="D167" s="1" t="s">
        <v>839</v>
      </c>
      <c r="E167" s="1" t="s">
        <v>45</v>
      </c>
      <c r="F167" s="1">
        <v>68813</v>
      </c>
      <c r="G167" s="1" t="s">
        <v>351</v>
      </c>
      <c r="H167" s="1">
        <v>41.661270000000002</v>
      </c>
      <c r="I167" s="1">
        <v>-99.866442000000006</v>
      </c>
      <c r="J167" s="1" t="s">
        <v>851</v>
      </c>
      <c r="K167" s="1" t="s">
        <v>805</v>
      </c>
      <c r="L167" s="1" t="s">
        <v>49</v>
      </c>
      <c r="M167" s="9">
        <v>1259045</v>
      </c>
      <c r="N167" s="1" t="s">
        <v>50</v>
      </c>
      <c r="O167" s="1" t="s">
        <v>844</v>
      </c>
      <c r="P167" s="1" t="s">
        <v>52</v>
      </c>
      <c r="Q167" s="1" t="s">
        <v>100</v>
      </c>
      <c r="R167" s="9">
        <v>337957271</v>
      </c>
      <c r="S167" s="1" t="s">
        <v>54</v>
      </c>
      <c r="T167" s="1" t="s">
        <v>55</v>
      </c>
      <c r="U167" s="9">
        <v>82</v>
      </c>
      <c r="V167" s="9">
        <v>204</v>
      </c>
      <c r="W167" s="9">
        <v>60</v>
      </c>
      <c r="X167" s="9">
        <v>120</v>
      </c>
      <c r="Y167" s="9">
        <v>174</v>
      </c>
      <c r="Z167" s="9">
        <v>210</v>
      </c>
      <c r="AA167" s="9">
        <v>36</v>
      </c>
      <c r="AB167" s="9">
        <v>168</v>
      </c>
      <c r="AC167" s="9">
        <v>94</v>
      </c>
      <c r="AD167" s="9" t="s">
        <v>69</v>
      </c>
      <c r="AE167" s="9" t="s">
        <v>69</v>
      </c>
      <c r="AF167" s="9" t="s">
        <v>353</v>
      </c>
      <c r="AG167" s="2">
        <v>45984</v>
      </c>
      <c r="AH167" s="3">
        <v>0.41111111111111109</v>
      </c>
      <c r="AI167" s="3">
        <v>0.43819444444444444</v>
      </c>
      <c r="AJ167" s="10" t="s">
        <v>301</v>
      </c>
      <c r="AK167" s="8" t="s">
        <v>253</v>
      </c>
      <c r="AL167" s="5" t="s">
        <v>59</v>
      </c>
      <c r="AM167" s="5" t="s">
        <v>59</v>
      </c>
      <c r="AN167" s="5" t="s">
        <v>59</v>
      </c>
      <c r="AO167" s="14">
        <v>46000</v>
      </c>
      <c r="AP167" s="4" t="s">
        <v>61</v>
      </c>
    </row>
    <row r="168" spans="1:42">
      <c r="A168" s="1">
        <v>437</v>
      </c>
      <c r="B168" s="1" t="s">
        <v>852</v>
      </c>
      <c r="C168" s="1" t="s">
        <v>853</v>
      </c>
      <c r="D168" s="1" t="s">
        <v>854</v>
      </c>
      <c r="E168" s="1" t="s">
        <v>45</v>
      </c>
      <c r="F168" s="1">
        <v>68856</v>
      </c>
      <c r="G168" s="1" t="s">
        <v>351</v>
      </c>
      <c r="H168" s="1">
        <v>41.501089999999998</v>
      </c>
      <c r="I168" s="1">
        <v>-99.847909999999999</v>
      </c>
      <c r="J168" s="1" t="s">
        <v>855</v>
      </c>
      <c r="K168" s="1" t="s">
        <v>805</v>
      </c>
      <c r="L168" s="1" t="s">
        <v>49</v>
      </c>
      <c r="M168" s="9">
        <v>1259043</v>
      </c>
      <c r="N168" s="1" t="s">
        <v>50</v>
      </c>
      <c r="O168" s="1" t="s">
        <v>844</v>
      </c>
      <c r="P168" s="1" t="s">
        <v>52</v>
      </c>
      <c r="Q168" s="1" t="s">
        <v>690</v>
      </c>
      <c r="R168" s="9">
        <v>128381774</v>
      </c>
      <c r="S168" s="1" t="s">
        <v>54</v>
      </c>
      <c r="T168" s="1" t="s">
        <v>55</v>
      </c>
      <c r="U168" s="9">
        <v>60</v>
      </c>
      <c r="V168" s="9">
        <v>168</v>
      </c>
      <c r="W168" s="9">
        <v>144</v>
      </c>
      <c r="X168" s="9">
        <v>140</v>
      </c>
      <c r="Y168" s="9">
        <v>78</v>
      </c>
      <c r="Z168" s="9">
        <v>62</v>
      </c>
      <c r="AA168" s="9">
        <v>55</v>
      </c>
      <c r="AB168" s="9">
        <v>93</v>
      </c>
      <c r="AC168" s="9">
        <v>79</v>
      </c>
      <c r="AD168" s="9" t="s">
        <v>69</v>
      </c>
      <c r="AE168" s="9" t="s">
        <v>69</v>
      </c>
      <c r="AF168" s="9" t="s">
        <v>353</v>
      </c>
      <c r="AG168" s="2">
        <v>45985</v>
      </c>
      <c r="AH168" s="3">
        <v>0.44791666666666669</v>
      </c>
      <c r="AI168" s="3">
        <v>0.46944444444444444</v>
      </c>
      <c r="AJ168" s="10" t="s">
        <v>301</v>
      </c>
      <c r="AK168" s="8" t="s">
        <v>253</v>
      </c>
      <c r="AL168" s="5" t="s">
        <v>59</v>
      </c>
      <c r="AM168" s="5" t="s">
        <v>59</v>
      </c>
      <c r="AN168" s="5" t="s">
        <v>59</v>
      </c>
      <c r="AO168" s="14">
        <v>46000</v>
      </c>
      <c r="AP168" s="4" t="s">
        <v>61</v>
      </c>
    </row>
    <row r="169" spans="1:42">
      <c r="A169" s="1">
        <v>494</v>
      </c>
      <c r="B169" s="1" t="s">
        <v>856</v>
      </c>
      <c r="C169" s="1" t="s">
        <v>857</v>
      </c>
      <c r="D169" s="1" t="s">
        <v>810</v>
      </c>
      <c r="E169" s="1" t="s">
        <v>45</v>
      </c>
      <c r="F169" s="1">
        <v>68778</v>
      </c>
      <c r="G169" s="1" t="s">
        <v>448</v>
      </c>
      <c r="H169" s="1">
        <v>42.920670000000001</v>
      </c>
      <c r="I169" s="1">
        <v>-99.650720000000007</v>
      </c>
      <c r="J169" s="1" t="s">
        <v>858</v>
      </c>
      <c r="K169" s="1" t="s">
        <v>805</v>
      </c>
      <c r="L169" s="1" t="s">
        <v>49</v>
      </c>
      <c r="M169" s="9">
        <v>1272622</v>
      </c>
      <c r="N169" s="1" t="s">
        <v>50</v>
      </c>
      <c r="O169" s="1" t="s">
        <v>816</v>
      </c>
      <c r="P169" s="1" t="s">
        <v>52</v>
      </c>
      <c r="Q169" s="1" t="s">
        <v>859</v>
      </c>
      <c r="R169" s="9">
        <v>117836640</v>
      </c>
      <c r="S169" s="1" t="s">
        <v>54</v>
      </c>
      <c r="T169" s="1" t="s">
        <v>55</v>
      </c>
      <c r="U169" s="9">
        <v>86</v>
      </c>
      <c r="V169" s="9">
        <v>164</v>
      </c>
      <c r="W169" s="9">
        <v>78</v>
      </c>
      <c r="X169" s="9">
        <v>36</v>
      </c>
      <c r="Y169" s="9">
        <v>132</v>
      </c>
      <c r="Z169" s="9">
        <v>24</v>
      </c>
      <c r="AA169" s="9">
        <v>58</v>
      </c>
      <c r="AB169" s="9">
        <v>38</v>
      </c>
      <c r="AC169" s="9">
        <v>112</v>
      </c>
      <c r="AD169" s="9" t="s">
        <v>69</v>
      </c>
      <c r="AE169" s="9" t="s">
        <v>69</v>
      </c>
      <c r="AF169" s="9" t="s">
        <v>353</v>
      </c>
      <c r="AG169" s="2">
        <v>45984</v>
      </c>
      <c r="AH169" s="3">
        <v>0.45555555555555555</v>
      </c>
      <c r="AI169" s="3">
        <v>0.4777777777777778</v>
      </c>
      <c r="AJ169" s="10" t="s">
        <v>301</v>
      </c>
      <c r="AK169" s="8" t="s">
        <v>253</v>
      </c>
      <c r="AL169" s="5" t="s">
        <v>59</v>
      </c>
      <c r="AM169" s="5" t="s">
        <v>59</v>
      </c>
      <c r="AN169" s="5" t="s">
        <v>59</v>
      </c>
      <c r="AO169" s="14">
        <v>46000</v>
      </c>
      <c r="AP169" s="4" t="s">
        <v>61</v>
      </c>
    </row>
    <row r="170" spans="1:42">
      <c r="A170" s="1">
        <v>497</v>
      </c>
      <c r="B170" s="1" t="s">
        <v>860</v>
      </c>
      <c r="C170" s="1" t="s">
        <v>861</v>
      </c>
      <c r="D170" s="1" t="s">
        <v>810</v>
      </c>
      <c r="E170" s="1" t="s">
        <v>45</v>
      </c>
      <c r="F170" s="1">
        <v>68778</v>
      </c>
      <c r="G170" s="1" t="s">
        <v>448</v>
      </c>
      <c r="H170" s="1">
        <v>42.79016</v>
      </c>
      <c r="I170" s="1">
        <v>-99.779070000000004</v>
      </c>
      <c r="J170" s="1" t="s">
        <v>862</v>
      </c>
      <c r="K170" s="1" t="s">
        <v>805</v>
      </c>
      <c r="L170" s="1" t="s">
        <v>49</v>
      </c>
      <c r="M170" s="9">
        <v>1268806</v>
      </c>
      <c r="N170" s="1" t="s">
        <v>50</v>
      </c>
      <c r="O170" s="1" t="s">
        <v>816</v>
      </c>
      <c r="P170" s="1" t="s">
        <v>52</v>
      </c>
      <c r="Q170" s="1" t="s">
        <v>358</v>
      </c>
      <c r="R170" s="9">
        <v>117835466</v>
      </c>
      <c r="S170" s="1" t="s">
        <v>54</v>
      </c>
      <c r="T170" s="1" t="s">
        <v>55</v>
      </c>
      <c r="U170" s="9">
        <v>90</v>
      </c>
      <c r="V170" s="9">
        <v>156</v>
      </c>
      <c r="W170" s="9">
        <v>60</v>
      </c>
      <c r="X170" s="9">
        <v>65</v>
      </c>
      <c r="Y170" s="9">
        <v>200</v>
      </c>
      <c r="Z170" s="9">
        <v>48</v>
      </c>
      <c r="AA170" s="9">
        <v>40</v>
      </c>
      <c r="AB170" s="9">
        <v>48</v>
      </c>
      <c r="AC170" s="9">
        <v>127</v>
      </c>
      <c r="AD170" s="9" t="s">
        <v>69</v>
      </c>
      <c r="AE170" s="9" t="s">
        <v>69</v>
      </c>
      <c r="AF170" s="9" t="s">
        <v>353</v>
      </c>
      <c r="AG170" s="2">
        <v>45984</v>
      </c>
      <c r="AH170" s="3">
        <v>0.51249999999999996</v>
      </c>
      <c r="AI170" s="3">
        <v>0.53333333333333333</v>
      </c>
      <c r="AJ170" s="10" t="s">
        <v>301</v>
      </c>
      <c r="AK170" s="8" t="s">
        <v>253</v>
      </c>
      <c r="AL170" s="5" t="s">
        <v>59</v>
      </c>
      <c r="AM170" s="5" t="s">
        <v>59</v>
      </c>
      <c r="AN170" s="5" t="s">
        <v>59</v>
      </c>
      <c r="AO170" s="14">
        <v>46000</v>
      </c>
      <c r="AP170" s="4" t="s">
        <v>61</v>
      </c>
    </row>
    <row r="171" spans="1:42">
      <c r="A171" s="1">
        <v>498</v>
      </c>
      <c r="B171" s="1" t="s">
        <v>863</v>
      </c>
      <c r="C171" s="1" t="s">
        <v>864</v>
      </c>
      <c r="D171" s="1" t="s">
        <v>865</v>
      </c>
      <c r="E171" s="1" t="s">
        <v>45</v>
      </c>
      <c r="F171" s="1">
        <v>69220</v>
      </c>
      <c r="G171" s="1" t="s">
        <v>448</v>
      </c>
      <c r="H171" s="1">
        <v>42.840560000000004</v>
      </c>
      <c r="I171" s="1">
        <v>-100.15728</v>
      </c>
      <c r="J171" s="1" t="s">
        <v>866</v>
      </c>
      <c r="K171" s="1" t="s">
        <v>805</v>
      </c>
      <c r="L171" s="1" t="s">
        <v>49</v>
      </c>
      <c r="M171" s="9">
        <v>1268807</v>
      </c>
      <c r="N171" s="1" t="s">
        <v>50</v>
      </c>
      <c r="O171" s="1" t="s">
        <v>816</v>
      </c>
      <c r="P171" s="1" t="s">
        <v>52</v>
      </c>
      <c r="Q171" s="1" t="s">
        <v>690</v>
      </c>
      <c r="R171" s="9">
        <v>117395561</v>
      </c>
      <c r="S171" s="1" t="s">
        <v>54</v>
      </c>
      <c r="T171" s="1" t="s">
        <v>55</v>
      </c>
      <c r="U171" s="9">
        <v>99</v>
      </c>
      <c r="V171" s="9">
        <v>252</v>
      </c>
      <c r="W171" s="9">
        <v>120</v>
      </c>
      <c r="X171" s="9">
        <v>88</v>
      </c>
      <c r="Y171" s="9">
        <v>276</v>
      </c>
      <c r="Z171" s="9">
        <v>48</v>
      </c>
      <c r="AA171" s="9">
        <v>36</v>
      </c>
      <c r="AB171" s="9">
        <v>40</v>
      </c>
      <c r="AC171" s="9">
        <v>84</v>
      </c>
      <c r="AD171" s="9" t="s">
        <v>69</v>
      </c>
      <c r="AE171" s="9" t="s">
        <v>69</v>
      </c>
      <c r="AF171" s="9" t="s">
        <v>353</v>
      </c>
      <c r="AG171" s="2">
        <v>45984</v>
      </c>
      <c r="AH171" s="3">
        <v>0.39513888888888887</v>
      </c>
      <c r="AI171" s="3">
        <v>0.4284722222222222</v>
      </c>
      <c r="AJ171" s="10" t="s">
        <v>301</v>
      </c>
      <c r="AK171" s="8" t="s">
        <v>253</v>
      </c>
      <c r="AL171" s="5" t="s">
        <v>59</v>
      </c>
      <c r="AM171" s="5" t="s">
        <v>59</v>
      </c>
      <c r="AN171" s="5" t="s">
        <v>59</v>
      </c>
      <c r="AO171" s="14">
        <v>46000</v>
      </c>
      <c r="AP171" s="4" t="s">
        <v>61</v>
      </c>
    </row>
    <row r="172" spans="1:42">
      <c r="A172" s="1">
        <v>542</v>
      </c>
      <c r="B172" s="1" t="s">
        <v>867</v>
      </c>
      <c r="C172" s="1" t="s">
        <v>868</v>
      </c>
      <c r="D172" s="1" t="s">
        <v>820</v>
      </c>
      <c r="E172" s="1" t="s">
        <v>45</v>
      </c>
      <c r="F172" s="1">
        <v>69210</v>
      </c>
      <c r="G172" s="1" t="s">
        <v>351</v>
      </c>
      <c r="H172" s="1">
        <v>42.330865279999998</v>
      </c>
      <c r="I172" s="1">
        <v>-99.859451390000004</v>
      </c>
      <c r="J172" s="1" t="s">
        <v>869</v>
      </c>
      <c r="K172" s="1" t="s">
        <v>805</v>
      </c>
      <c r="L172" s="1" t="s">
        <v>49</v>
      </c>
      <c r="M172" s="9">
        <v>1260802</v>
      </c>
      <c r="N172" s="1" t="s">
        <v>50</v>
      </c>
      <c r="O172" s="1" t="s">
        <v>816</v>
      </c>
      <c r="P172" s="1" t="s">
        <v>52</v>
      </c>
      <c r="Q172" s="1" t="s">
        <v>690</v>
      </c>
      <c r="R172" s="9">
        <v>120625931</v>
      </c>
      <c r="S172" s="1" t="s">
        <v>54</v>
      </c>
      <c r="T172" s="1" t="s">
        <v>55</v>
      </c>
      <c r="U172" s="9">
        <v>84</v>
      </c>
      <c r="V172" s="9">
        <v>216</v>
      </c>
      <c r="W172" s="9">
        <v>100</v>
      </c>
      <c r="X172" s="9">
        <v>92</v>
      </c>
      <c r="Y172" s="9">
        <v>156</v>
      </c>
      <c r="Z172" s="9">
        <v>64</v>
      </c>
      <c r="AA172" s="9">
        <v>38</v>
      </c>
      <c r="AB172" s="9">
        <v>28</v>
      </c>
      <c r="AC172" s="9">
        <v>90</v>
      </c>
      <c r="AD172" s="9" t="s">
        <v>69</v>
      </c>
      <c r="AE172" s="9" t="s">
        <v>69</v>
      </c>
      <c r="AF172" s="9" t="s">
        <v>353</v>
      </c>
      <c r="AG172" s="2">
        <v>45985</v>
      </c>
      <c r="AH172" s="3">
        <v>0.2673611111111111</v>
      </c>
      <c r="AI172" s="3">
        <v>0.29375000000000001</v>
      </c>
      <c r="AJ172" s="10" t="s">
        <v>301</v>
      </c>
      <c r="AK172" s="8" t="s">
        <v>253</v>
      </c>
      <c r="AL172" s="5" t="s">
        <v>59</v>
      </c>
      <c r="AM172" s="5" t="s">
        <v>59</v>
      </c>
      <c r="AN172" s="5" t="s">
        <v>59</v>
      </c>
      <c r="AO172" s="14">
        <v>46000</v>
      </c>
      <c r="AP172" s="4" t="s">
        <v>61</v>
      </c>
    </row>
    <row r="173" spans="1:42">
      <c r="A173" s="1">
        <v>569</v>
      </c>
      <c r="B173" s="1" t="s">
        <v>870</v>
      </c>
      <c r="C173" s="1" t="s">
        <v>871</v>
      </c>
      <c r="D173" s="1" t="s">
        <v>820</v>
      </c>
      <c r="E173" s="1" t="s">
        <v>45</v>
      </c>
      <c r="F173" s="1">
        <v>69210</v>
      </c>
      <c r="G173" s="1" t="s">
        <v>821</v>
      </c>
      <c r="H173" s="1">
        <v>42.1554</v>
      </c>
      <c r="I173" s="1">
        <v>-99.880089999999996</v>
      </c>
      <c r="J173" s="1" t="s">
        <v>872</v>
      </c>
      <c r="K173" s="1" t="s">
        <v>805</v>
      </c>
      <c r="L173" s="1" t="s">
        <v>49</v>
      </c>
      <c r="M173" s="9">
        <v>1313562</v>
      </c>
      <c r="N173" s="1" t="s">
        <v>50</v>
      </c>
      <c r="O173" s="1" t="s">
        <v>816</v>
      </c>
      <c r="P173" s="1" t="s">
        <v>52</v>
      </c>
      <c r="Q173" s="1" t="s">
        <v>690</v>
      </c>
      <c r="R173" s="9">
        <v>337956669</v>
      </c>
      <c r="S173" s="1" t="s">
        <v>54</v>
      </c>
      <c r="T173" s="1" t="s">
        <v>55</v>
      </c>
      <c r="U173" s="9">
        <v>84</v>
      </c>
      <c r="V173" s="9">
        <v>192</v>
      </c>
      <c r="W173" s="9">
        <v>78</v>
      </c>
      <c r="X173" s="9">
        <v>120</v>
      </c>
      <c r="Y173" s="9">
        <v>174</v>
      </c>
      <c r="Z173" s="9">
        <v>120</v>
      </c>
      <c r="AA173" s="9">
        <v>60</v>
      </c>
      <c r="AB173" s="9">
        <v>84</v>
      </c>
      <c r="AC173" s="9">
        <v>36</v>
      </c>
      <c r="AD173" s="9" t="s">
        <v>69</v>
      </c>
      <c r="AE173" s="9" t="s">
        <v>69</v>
      </c>
      <c r="AF173" s="9" t="s">
        <v>353</v>
      </c>
      <c r="AG173" s="2">
        <v>45985</v>
      </c>
      <c r="AH173" s="3">
        <v>0.30902777777777779</v>
      </c>
      <c r="AI173" s="3">
        <v>0.33263888888888887</v>
      </c>
      <c r="AJ173" s="10" t="s">
        <v>301</v>
      </c>
      <c r="AK173" s="8" t="s">
        <v>253</v>
      </c>
      <c r="AL173" s="5" t="s">
        <v>59</v>
      </c>
      <c r="AM173" s="5" t="s">
        <v>59</v>
      </c>
      <c r="AN173" s="5" t="s">
        <v>59</v>
      </c>
      <c r="AO173" s="14">
        <v>46000</v>
      </c>
      <c r="AP173" s="4" t="s">
        <v>61</v>
      </c>
    </row>
    <row r="174" spans="1:42">
      <c r="A174" s="1">
        <v>1058</v>
      </c>
      <c r="B174" s="1" t="s">
        <v>873</v>
      </c>
      <c r="C174" s="1" t="s">
        <v>874</v>
      </c>
      <c r="D174" s="1" t="s">
        <v>875</v>
      </c>
      <c r="E174" s="1" t="s">
        <v>45</v>
      </c>
      <c r="F174" s="1">
        <v>68765</v>
      </c>
      <c r="G174" s="1" t="s">
        <v>876</v>
      </c>
      <c r="H174" s="1">
        <v>42.265136390000002</v>
      </c>
      <c r="I174" s="1">
        <v>-97.662127220000002</v>
      </c>
      <c r="J174" s="1" t="s">
        <v>877</v>
      </c>
      <c r="K174" s="1" t="s">
        <v>805</v>
      </c>
      <c r="L174" s="1" t="s">
        <v>49</v>
      </c>
      <c r="M174" s="9">
        <v>1322586</v>
      </c>
      <c r="N174" s="1" t="s">
        <v>50</v>
      </c>
      <c r="O174" s="1" t="s">
        <v>844</v>
      </c>
      <c r="P174" s="1" t="s">
        <v>52</v>
      </c>
      <c r="Q174" s="1" t="s">
        <v>878</v>
      </c>
      <c r="R174" s="9">
        <v>65937829</v>
      </c>
      <c r="S174" s="1" t="s">
        <v>54</v>
      </c>
      <c r="T174" s="1" t="s">
        <v>55</v>
      </c>
      <c r="U174" s="9">
        <v>76</v>
      </c>
      <c r="V174" s="9">
        <v>200</v>
      </c>
      <c r="W174" s="9">
        <v>200</v>
      </c>
      <c r="X174" s="9">
        <v>152</v>
      </c>
      <c r="Y174" s="9">
        <v>91</v>
      </c>
      <c r="Z174" s="9">
        <v>212</v>
      </c>
      <c r="AA174" s="9">
        <v>60</v>
      </c>
      <c r="AB174" s="9">
        <v>150</v>
      </c>
      <c r="AC174" s="9">
        <v>48</v>
      </c>
      <c r="AD174" s="9" t="s">
        <v>69</v>
      </c>
      <c r="AE174" s="9">
        <v>4</v>
      </c>
      <c r="AF174" s="9" t="s">
        <v>236</v>
      </c>
      <c r="AG174" s="2">
        <v>46001</v>
      </c>
      <c r="AH174" s="3">
        <v>0.47916666666666669</v>
      </c>
      <c r="AI174" s="3">
        <v>0.51041666666666663</v>
      </c>
      <c r="AJ174" s="10" t="s">
        <v>301</v>
      </c>
      <c r="AK174" s="8" t="s">
        <v>253</v>
      </c>
      <c r="AM174" s="5"/>
      <c r="AN174" s="5"/>
      <c r="AO174" s="14"/>
      <c r="AP174" s="4"/>
    </row>
    <row r="175" spans="1:42">
      <c r="A175" s="1">
        <v>1071</v>
      </c>
      <c r="B175" s="1" t="s">
        <v>879</v>
      </c>
      <c r="C175" s="1" t="s">
        <v>880</v>
      </c>
      <c r="D175" s="1" t="s">
        <v>881</v>
      </c>
      <c r="E175" s="1" t="s">
        <v>45</v>
      </c>
      <c r="F175" s="1">
        <v>68871</v>
      </c>
      <c r="G175" s="1" t="s">
        <v>882</v>
      </c>
      <c r="H175" s="1">
        <v>41.128813890000004</v>
      </c>
      <c r="I175" s="1">
        <v>-98.823408330000007</v>
      </c>
      <c r="J175" s="1" t="s">
        <v>883</v>
      </c>
      <c r="K175" s="1" t="s">
        <v>805</v>
      </c>
      <c r="L175" s="1" t="s">
        <v>49</v>
      </c>
      <c r="M175" s="9">
        <v>1322585</v>
      </c>
      <c r="N175" s="1" t="s">
        <v>50</v>
      </c>
      <c r="O175" s="1" t="s">
        <v>844</v>
      </c>
      <c r="P175" s="1" t="s">
        <v>52</v>
      </c>
      <c r="Q175" s="1" t="s">
        <v>884</v>
      </c>
      <c r="R175" s="9" t="s">
        <v>885</v>
      </c>
      <c r="S175" s="1" t="s">
        <v>54</v>
      </c>
      <c r="T175" s="1" t="s">
        <v>55</v>
      </c>
      <c r="U175" s="9">
        <v>84</v>
      </c>
      <c r="V175" s="9">
        <v>204</v>
      </c>
      <c r="W175" s="9">
        <v>257</v>
      </c>
      <c r="X175" s="9">
        <v>84</v>
      </c>
      <c r="Y175" s="9">
        <v>284</v>
      </c>
      <c r="Z175" s="9">
        <v>84</v>
      </c>
      <c r="AA175" s="9">
        <v>90</v>
      </c>
      <c r="AB175" s="9">
        <v>24</v>
      </c>
      <c r="AC175" s="9">
        <v>87</v>
      </c>
      <c r="AD175" s="9" t="s">
        <v>69</v>
      </c>
      <c r="AE175" s="9">
        <v>4</v>
      </c>
      <c r="AF175" s="9" t="s">
        <v>236</v>
      </c>
      <c r="AG175" s="2">
        <v>45999</v>
      </c>
      <c r="AH175" s="3">
        <v>0.62222222222222223</v>
      </c>
      <c r="AI175" s="3">
        <v>0.63194444444444442</v>
      </c>
      <c r="AJ175" s="10" t="s">
        <v>301</v>
      </c>
      <c r="AK175" s="8" t="s">
        <v>253</v>
      </c>
      <c r="AM175" s="5"/>
      <c r="AN175" s="5"/>
      <c r="AO175" s="14"/>
      <c r="AP175" s="4"/>
    </row>
    <row r="176" spans="1:42">
      <c r="A176" s="1">
        <v>1082</v>
      </c>
      <c r="B176" s="1" t="s">
        <v>886</v>
      </c>
      <c r="C176" s="1" t="s">
        <v>887</v>
      </c>
      <c r="D176" s="1" t="s">
        <v>888</v>
      </c>
      <c r="E176" s="1" t="s">
        <v>45</v>
      </c>
      <c r="F176" s="1">
        <v>68814</v>
      </c>
      <c r="G176" s="1" t="s">
        <v>889</v>
      </c>
      <c r="H176" s="1">
        <v>41.338566669999999</v>
      </c>
      <c r="I176" s="1">
        <v>-99.500341669999997</v>
      </c>
      <c r="J176" s="1" t="s">
        <v>890</v>
      </c>
      <c r="K176" s="1" t="s">
        <v>805</v>
      </c>
      <c r="L176" s="1" t="s">
        <v>49</v>
      </c>
      <c r="M176" s="9">
        <v>1323680</v>
      </c>
      <c r="N176" s="1" t="s">
        <v>50</v>
      </c>
      <c r="O176" s="1" t="s">
        <v>844</v>
      </c>
      <c r="P176" s="1" t="s">
        <v>52</v>
      </c>
      <c r="Q176" s="1" t="s">
        <v>891</v>
      </c>
      <c r="R176" s="9">
        <v>348554246</v>
      </c>
      <c r="S176" s="1" t="s">
        <v>54</v>
      </c>
      <c r="T176" s="1" t="s">
        <v>55</v>
      </c>
      <c r="U176" s="9">
        <v>87</v>
      </c>
      <c r="V176" s="9">
        <v>202</v>
      </c>
      <c r="W176" s="9">
        <v>255</v>
      </c>
      <c r="X176" s="9">
        <v>84</v>
      </c>
      <c r="Y176" s="9">
        <v>286</v>
      </c>
      <c r="Z176" s="9">
        <v>48</v>
      </c>
      <c r="AA176" s="9">
        <v>88</v>
      </c>
      <c r="AB176" s="9">
        <v>24</v>
      </c>
      <c r="AC176" s="9">
        <v>87</v>
      </c>
      <c r="AD176" s="9" t="s">
        <v>69</v>
      </c>
      <c r="AE176" s="9">
        <v>4</v>
      </c>
      <c r="AF176" s="9" t="s">
        <v>236</v>
      </c>
      <c r="AG176" s="2">
        <v>45999</v>
      </c>
      <c r="AH176" s="3">
        <v>0.51111111111111107</v>
      </c>
      <c r="AI176" s="3">
        <v>0.55763888888888891</v>
      </c>
      <c r="AJ176" s="10" t="s">
        <v>301</v>
      </c>
      <c r="AK176" s="8" t="s">
        <v>253</v>
      </c>
      <c r="AL176" s="5" t="s">
        <v>59</v>
      </c>
      <c r="AM176" s="5" t="s">
        <v>59</v>
      </c>
      <c r="AN176" s="5" t="s">
        <v>59</v>
      </c>
      <c r="AO176" s="14">
        <v>46000</v>
      </c>
      <c r="AP176" s="4" t="s">
        <v>61</v>
      </c>
    </row>
    <row r="177" spans="1:42">
      <c r="A177" s="1">
        <v>1089</v>
      </c>
      <c r="B177" s="1" t="s">
        <v>892</v>
      </c>
      <c r="C177" s="1" t="s">
        <v>893</v>
      </c>
      <c r="D177" s="1" t="s">
        <v>894</v>
      </c>
      <c r="E177" s="1" t="s">
        <v>45</v>
      </c>
      <c r="F177" s="1">
        <v>68954</v>
      </c>
      <c r="G177" s="1" t="s">
        <v>895</v>
      </c>
      <c r="H177" s="1">
        <v>40.596586109999997</v>
      </c>
      <c r="I177" s="1">
        <v>-98.215930560000004</v>
      </c>
      <c r="J177" s="1" t="s">
        <v>896</v>
      </c>
      <c r="K177" s="1" t="s">
        <v>805</v>
      </c>
      <c r="L177" s="1" t="s">
        <v>49</v>
      </c>
      <c r="M177" s="9" t="s">
        <v>682</v>
      </c>
      <c r="N177" s="1" t="s">
        <v>50</v>
      </c>
      <c r="O177" s="1" t="s">
        <v>816</v>
      </c>
      <c r="P177" s="1" t="s">
        <v>52</v>
      </c>
      <c r="R177" s="9" t="s">
        <v>897</v>
      </c>
      <c r="S177" s="1" t="s">
        <v>54</v>
      </c>
      <c r="T177" s="1" t="s">
        <v>55</v>
      </c>
      <c r="U177" s="9" t="s">
        <v>69</v>
      </c>
      <c r="V177" s="9" t="s">
        <v>69</v>
      </c>
      <c r="W177" s="9" t="s">
        <v>69</v>
      </c>
      <c r="X177" s="9" t="s">
        <v>69</v>
      </c>
      <c r="Y177" s="9" t="s">
        <v>69</v>
      </c>
      <c r="Z177" s="9" t="s">
        <v>69</v>
      </c>
      <c r="AA177" s="9" t="s">
        <v>69</v>
      </c>
      <c r="AB177" s="9" t="s">
        <v>69</v>
      </c>
      <c r="AC177" s="9" t="s">
        <v>69</v>
      </c>
      <c r="AD177" s="9" t="s">
        <v>69</v>
      </c>
      <c r="AE177" s="9" t="s">
        <v>69</v>
      </c>
      <c r="AF177" s="9" t="s">
        <v>236</v>
      </c>
      <c r="AG177" s="2">
        <v>45999</v>
      </c>
      <c r="AH177" s="3">
        <v>0.67708333333333337</v>
      </c>
      <c r="AI177" s="3">
        <v>0.68263888888888891</v>
      </c>
      <c r="AJ177" s="10" t="s">
        <v>898</v>
      </c>
      <c r="AK177" s="8" t="s">
        <v>69</v>
      </c>
      <c r="AL177" s="5" t="s">
        <v>59</v>
      </c>
      <c r="AM177" s="5" t="s">
        <v>59</v>
      </c>
      <c r="AN177" s="5" t="s">
        <v>59</v>
      </c>
      <c r="AO177" s="14">
        <v>46000</v>
      </c>
      <c r="AP177" s="4" t="s">
        <v>61</v>
      </c>
    </row>
    <row r="178" spans="1:42">
      <c r="A178" s="1">
        <v>1092</v>
      </c>
      <c r="B178" s="1" t="s">
        <v>899</v>
      </c>
      <c r="C178" s="1" t="s">
        <v>900</v>
      </c>
      <c r="D178" s="1" t="s">
        <v>901</v>
      </c>
      <c r="E178" s="1" t="s">
        <v>45</v>
      </c>
      <c r="F178" s="1">
        <v>68930</v>
      </c>
      <c r="G178" s="1" t="s">
        <v>902</v>
      </c>
      <c r="H178" s="1">
        <v>40.408697220000001</v>
      </c>
      <c r="I178" s="1">
        <v>-98.333666669999999</v>
      </c>
      <c r="J178" s="1" t="s">
        <v>903</v>
      </c>
      <c r="K178" s="1" t="s">
        <v>805</v>
      </c>
      <c r="L178" s="1" t="s">
        <v>49</v>
      </c>
      <c r="M178" s="9" t="s">
        <v>682</v>
      </c>
      <c r="N178" s="1" t="s">
        <v>50</v>
      </c>
      <c r="O178" s="1" t="s">
        <v>844</v>
      </c>
      <c r="P178" s="1" t="s">
        <v>52</v>
      </c>
      <c r="R178" s="9" t="s">
        <v>897</v>
      </c>
      <c r="S178" s="1" t="s">
        <v>54</v>
      </c>
      <c r="T178" s="1" t="s">
        <v>55</v>
      </c>
      <c r="U178" s="9" t="s">
        <v>69</v>
      </c>
      <c r="V178" s="9" t="s">
        <v>69</v>
      </c>
      <c r="W178" s="9" t="s">
        <v>69</v>
      </c>
      <c r="X178" s="9" t="s">
        <v>69</v>
      </c>
      <c r="Y178" s="9" t="s">
        <v>69</v>
      </c>
      <c r="Z178" s="9" t="s">
        <v>69</v>
      </c>
      <c r="AA178" s="9" t="s">
        <v>69</v>
      </c>
      <c r="AB178" s="9" t="s">
        <v>69</v>
      </c>
      <c r="AC178" s="9" t="s">
        <v>69</v>
      </c>
      <c r="AD178" s="9" t="s">
        <v>69</v>
      </c>
      <c r="AE178" s="9" t="s">
        <v>69</v>
      </c>
      <c r="AF178" s="9" t="s">
        <v>236</v>
      </c>
      <c r="AG178" s="2">
        <v>45999</v>
      </c>
      <c r="AH178" s="3">
        <v>0.70208333333333328</v>
      </c>
      <c r="AI178" s="3">
        <v>0.71180555555555558</v>
      </c>
      <c r="AJ178" s="10" t="s">
        <v>898</v>
      </c>
      <c r="AK178" s="8" t="s">
        <v>69</v>
      </c>
      <c r="AL178" s="5" t="s">
        <v>59</v>
      </c>
      <c r="AM178" s="5" t="s">
        <v>59</v>
      </c>
      <c r="AN178" s="5" t="s">
        <v>59</v>
      </c>
      <c r="AO178" s="14">
        <v>46000</v>
      </c>
      <c r="AP178" s="4" t="s">
        <v>61</v>
      </c>
    </row>
    <row r="179" spans="1:42">
      <c r="A179" s="1">
        <v>398</v>
      </c>
      <c r="B179" s="1" t="s">
        <v>904</v>
      </c>
      <c r="C179" s="1" t="s">
        <v>905</v>
      </c>
      <c r="D179" s="1" t="s">
        <v>906</v>
      </c>
      <c r="E179" s="1" t="s">
        <v>907</v>
      </c>
      <c r="F179" s="1">
        <v>67762</v>
      </c>
      <c r="H179" s="1">
        <v>38.867550000000001</v>
      </c>
      <c r="I179" s="1">
        <v>-101.96844</v>
      </c>
      <c r="J179" s="1" t="s">
        <v>908</v>
      </c>
      <c r="K179" s="1" t="s">
        <v>909</v>
      </c>
      <c r="L179" s="1" t="s">
        <v>49</v>
      </c>
      <c r="N179" s="1" t="s">
        <v>50</v>
      </c>
      <c r="O179" s="1" t="s">
        <v>910</v>
      </c>
      <c r="P179" s="1" t="s">
        <v>52</v>
      </c>
      <c r="R179" s="9"/>
      <c r="AF179" s="9" t="s">
        <v>911</v>
      </c>
      <c r="AJ179" s="10"/>
      <c r="AK179" s="8"/>
      <c r="AM179" s="5"/>
      <c r="AN179" s="5"/>
      <c r="AO179" s="14"/>
      <c r="AP179" s="4"/>
    </row>
    <row r="180" spans="1:42">
      <c r="A180" s="1">
        <v>763</v>
      </c>
      <c r="B180" s="1" t="s">
        <v>912</v>
      </c>
      <c r="C180" s="1" t="s">
        <v>913</v>
      </c>
      <c r="D180" s="1" t="s">
        <v>914</v>
      </c>
      <c r="E180" s="1" t="s">
        <v>907</v>
      </c>
      <c r="F180" s="1">
        <v>67758</v>
      </c>
      <c r="H180" s="1">
        <v>38.904618999999997</v>
      </c>
      <c r="I180" s="1">
        <v>-101.75103900000001</v>
      </c>
      <c r="J180" s="1" t="s">
        <v>915</v>
      </c>
      <c r="K180" s="1" t="s">
        <v>909</v>
      </c>
      <c r="L180" s="1" t="s">
        <v>49</v>
      </c>
      <c r="N180" s="1" t="s">
        <v>50</v>
      </c>
      <c r="O180" s="1" t="s">
        <v>206</v>
      </c>
      <c r="P180" s="1" t="s">
        <v>52</v>
      </c>
      <c r="R180" s="9"/>
      <c r="AF180" s="9" t="s">
        <v>911</v>
      </c>
      <c r="AJ180" s="10"/>
      <c r="AK180" s="8"/>
      <c r="AM180" s="5"/>
      <c r="AN180" s="5"/>
      <c r="AO180" s="14"/>
      <c r="AP180" s="4"/>
    </row>
    <row r="181" spans="1:42">
      <c r="R181" s="9"/>
      <c r="AJ181" s="10"/>
      <c r="AK181" s="8"/>
      <c r="AM181" s="5"/>
      <c r="AN181" s="5"/>
      <c r="AO181" s="14"/>
      <c r="AP181" s="4"/>
    </row>
    <row r="182" spans="1:42">
      <c r="R182" s="9"/>
      <c r="AJ182" s="10"/>
      <c r="AK182" s="8"/>
      <c r="AM182" s="5"/>
      <c r="AN182" s="5"/>
      <c r="AO182" s="14"/>
      <c r="AP182" s="4"/>
    </row>
    <row r="183" spans="1:42">
      <c r="R183" s="9"/>
      <c r="AJ183" s="10"/>
      <c r="AK183" s="8"/>
      <c r="AM183" s="5"/>
      <c r="AN183" s="5"/>
      <c r="AO183" s="14"/>
      <c r="AP183" s="4"/>
    </row>
    <row r="184" spans="1:42">
      <c r="R184" s="9"/>
      <c r="AJ184" s="10"/>
      <c r="AK184" s="8"/>
      <c r="AM184" s="5"/>
      <c r="AN184" s="5"/>
      <c r="AO184" s="14"/>
      <c r="AP184" s="4"/>
    </row>
    <row r="185" spans="1:42">
      <c r="R185" s="9"/>
      <c r="AJ185" s="10"/>
      <c r="AK185" s="8"/>
      <c r="AM185" s="5"/>
      <c r="AN185" s="5"/>
      <c r="AO185" s="14"/>
      <c r="AP185" s="4"/>
    </row>
    <row r="186" spans="1:42">
      <c r="R186" s="9"/>
      <c r="AJ186" s="10"/>
      <c r="AK186" s="8"/>
      <c r="AM186" s="5"/>
      <c r="AN186" s="5"/>
      <c r="AO186" s="14"/>
      <c r="AP186" s="4"/>
    </row>
    <row r="187" spans="1:42">
      <c r="R187" s="9"/>
      <c r="AJ187" s="10"/>
      <c r="AK187" s="8"/>
      <c r="AM187" s="5"/>
      <c r="AN187" s="5"/>
      <c r="AO187" s="14"/>
      <c r="AP187" s="4"/>
    </row>
    <row r="188" spans="1:42">
      <c r="R188" s="9"/>
      <c r="AJ188" s="10"/>
      <c r="AK188" s="8"/>
      <c r="AM188" s="5"/>
      <c r="AN188" s="5"/>
      <c r="AO188" s="14"/>
      <c r="AP188" s="4"/>
    </row>
    <row r="189" spans="1:42">
      <c r="R189" s="9"/>
      <c r="AJ189" s="10"/>
      <c r="AK189" s="8"/>
      <c r="AM189" s="5"/>
      <c r="AN189" s="5"/>
      <c r="AO189" s="14"/>
      <c r="AP189" s="4"/>
    </row>
    <row r="190" spans="1:42">
      <c r="R190" s="9"/>
      <c r="AJ190" s="10"/>
      <c r="AK190" s="8"/>
      <c r="AM190" s="5"/>
      <c r="AN190" s="5"/>
      <c r="AO190" s="14"/>
      <c r="AP190" s="4"/>
    </row>
    <row r="191" spans="1:42">
      <c r="R191" s="9"/>
      <c r="AJ191" s="10"/>
      <c r="AK191" s="8"/>
      <c r="AM191" s="5"/>
      <c r="AN191" s="5"/>
      <c r="AO191" s="14"/>
      <c r="AP191" s="4"/>
    </row>
    <row r="192" spans="1:42">
      <c r="R192" s="9"/>
      <c r="AJ192" s="10"/>
      <c r="AK192" s="8"/>
      <c r="AM192" s="5"/>
      <c r="AN192" s="5"/>
      <c r="AO192" s="14"/>
      <c r="AP192" s="4"/>
    </row>
    <row r="193" spans="18:42">
      <c r="R193" s="9"/>
      <c r="AJ193" s="10"/>
      <c r="AK193" s="8"/>
      <c r="AM193" s="5"/>
      <c r="AN193" s="5"/>
      <c r="AO193" s="14"/>
      <c r="AP193" s="4"/>
    </row>
    <row r="194" spans="18:42">
      <c r="R194" s="9"/>
      <c r="AJ194" s="10"/>
      <c r="AK194" s="8"/>
      <c r="AM194" s="5"/>
      <c r="AN194" s="5"/>
      <c r="AO194" s="14"/>
      <c r="AP194" s="4"/>
    </row>
    <row r="195" spans="18:42">
      <c r="R195" s="9"/>
      <c r="AJ195" s="10"/>
      <c r="AK195" s="8"/>
      <c r="AM195" s="5"/>
      <c r="AN195" s="5"/>
      <c r="AO195" s="14"/>
      <c r="AP195" s="4"/>
    </row>
    <row r="196" spans="18:42">
      <c r="R196" s="9"/>
      <c r="AJ196" s="10"/>
      <c r="AK196" s="8"/>
      <c r="AM196" s="5"/>
      <c r="AN196" s="5"/>
      <c r="AO196" s="14"/>
      <c r="AP196" s="4"/>
    </row>
    <row r="197" spans="18:42">
      <c r="R197" s="9"/>
      <c r="AJ197" s="10"/>
      <c r="AK197" s="8"/>
      <c r="AM197" s="5"/>
      <c r="AN197" s="5"/>
      <c r="AO197" s="14"/>
      <c r="AP197" s="4"/>
    </row>
    <row r="198" spans="18:42">
      <c r="R198" s="9"/>
      <c r="AJ198" s="10"/>
      <c r="AK198" s="8"/>
      <c r="AM198" s="5"/>
      <c r="AN198" s="5"/>
      <c r="AO198" s="14"/>
      <c r="AP198" s="4"/>
    </row>
    <row r="199" spans="18:42">
      <c r="R199" s="9"/>
      <c r="AJ199" s="10"/>
      <c r="AK199" s="8"/>
      <c r="AM199" s="5"/>
      <c r="AN199" s="5"/>
      <c r="AO199" s="14"/>
      <c r="AP199" s="4"/>
    </row>
    <row r="200" spans="18:42">
      <c r="R200" s="9"/>
      <c r="AJ200" s="10"/>
      <c r="AK200" s="8"/>
      <c r="AM200" s="5"/>
      <c r="AN200" s="5"/>
      <c r="AO200" s="14"/>
      <c r="AP200" s="4"/>
    </row>
    <row r="201" spans="18:42">
      <c r="R201" s="9"/>
      <c r="AJ201" s="10"/>
      <c r="AK201" s="8"/>
      <c r="AM201" s="5"/>
      <c r="AN201" s="5"/>
      <c r="AO201" s="14"/>
      <c r="AP201" s="4"/>
    </row>
    <row r="202" spans="18:42">
      <c r="R202" s="9"/>
      <c r="AJ202" s="10"/>
      <c r="AK202" s="8"/>
      <c r="AM202" s="5"/>
      <c r="AN202" s="5"/>
      <c r="AO202" s="14"/>
      <c r="AP202" s="4"/>
    </row>
    <row r="203" spans="18:42">
      <c r="R203" s="9"/>
      <c r="AJ203" s="10"/>
      <c r="AK203" s="8"/>
      <c r="AM203" s="5"/>
      <c r="AN203" s="5"/>
      <c r="AO203" s="14"/>
      <c r="AP203" s="4"/>
    </row>
    <row r="204" spans="18:42">
      <c r="R204" s="9"/>
      <c r="AJ204" s="10"/>
      <c r="AK204" s="8"/>
      <c r="AM204" s="5"/>
      <c r="AN204" s="5"/>
      <c r="AO204" s="14"/>
      <c r="AP204" s="4"/>
    </row>
    <row r="205" spans="18:42">
      <c r="R205" s="9"/>
      <c r="AJ205" s="10"/>
      <c r="AK205" s="8"/>
      <c r="AM205" s="5"/>
      <c r="AN205" s="5"/>
      <c r="AO205" s="14"/>
      <c r="AP205" s="4"/>
    </row>
    <row r="206" spans="18:42">
      <c r="R206" s="9"/>
      <c r="AJ206" s="10"/>
      <c r="AK206" s="8"/>
      <c r="AM206" s="5"/>
      <c r="AN206" s="5"/>
      <c r="AO206" s="14"/>
      <c r="AP206" s="4"/>
    </row>
    <row r="207" spans="18:42">
      <c r="R207" s="9"/>
      <c r="AJ207" s="10"/>
      <c r="AK207" s="8"/>
      <c r="AM207" s="5"/>
      <c r="AN207" s="5"/>
      <c r="AO207" s="14"/>
      <c r="AP207" s="4"/>
    </row>
    <row r="208" spans="18:42">
      <c r="R208" s="9"/>
      <c r="AJ208" s="10"/>
      <c r="AK208" s="8"/>
      <c r="AM208" s="5"/>
      <c r="AN208" s="5"/>
      <c r="AO208" s="14"/>
      <c r="AP208" s="4"/>
    </row>
    <row r="209" spans="18:42">
      <c r="R209" s="9"/>
      <c r="AJ209" s="10"/>
      <c r="AK209" s="8"/>
      <c r="AM209" s="5"/>
      <c r="AN209" s="5"/>
      <c r="AO209" s="14"/>
      <c r="AP209" s="4"/>
    </row>
    <row r="210" spans="18:42">
      <c r="R210" s="9"/>
      <c r="AJ210" s="10"/>
      <c r="AK210" s="8"/>
      <c r="AM210" s="5"/>
      <c r="AN210" s="5"/>
      <c r="AO210" s="14"/>
      <c r="AP210" s="4"/>
    </row>
    <row r="211" spans="18:42">
      <c r="R211" s="9"/>
      <c r="AJ211" s="10"/>
      <c r="AK211" s="8"/>
      <c r="AM211" s="5"/>
      <c r="AN211" s="5"/>
      <c r="AO211" s="14"/>
      <c r="AP211" s="4"/>
    </row>
    <row r="212" spans="18:42">
      <c r="R212" s="9"/>
      <c r="AJ212" s="10"/>
      <c r="AK212" s="8"/>
      <c r="AM212" s="5"/>
      <c r="AN212" s="5"/>
      <c r="AO212" s="14"/>
      <c r="AP212" s="4"/>
    </row>
    <row r="213" spans="18:42">
      <c r="R213" s="9"/>
      <c r="AJ213" s="10"/>
      <c r="AK213" s="8"/>
      <c r="AM213" s="5"/>
      <c r="AN213" s="5"/>
      <c r="AO213" s="14"/>
      <c r="AP213" s="4"/>
    </row>
    <row r="214" spans="18:42">
      <c r="R214" s="9"/>
      <c r="AJ214" s="10"/>
      <c r="AK214" s="8"/>
      <c r="AM214" s="5"/>
      <c r="AN214" s="5"/>
      <c r="AO214" s="14"/>
      <c r="AP214" s="4"/>
    </row>
    <row r="215" spans="18:42">
      <c r="R215" s="9"/>
      <c r="AJ215" s="10"/>
      <c r="AK215" s="8"/>
      <c r="AM215" s="5"/>
      <c r="AN215" s="5"/>
      <c r="AO215" s="14"/>
      <c r="AP215" s="4"/>
    </row>
    <row r="216" spans="18:42">
      <c r="R216" s="9"/>
      <c r="AJ216" s="10"/>
      <c r="AK216" s="8"/>
      <c r="AM216" s="5"/>
      <c r="AN216" s="5"/>
      <c r="AO216" s="14"/>
      <c r="AP216" s="4"/>
    </row>
    <row r="217" spans="18:42">
      <c r="R217" s="9"/>
      <c r="AJ217" s="10"/>
      <c r="AK217" s="8"/>
      <c r="AM217" s="5"/>
      <c r="AN217" s="5"/>
      <c r="AO217" s="14"/>
      <c r="AP217" s="4"/>
    </row>
    <row r="218" spans="18:42">
      <c r="R218" s="9"/>
      <c r="AJ218" s="10"/>
      <c r="AK218" s="8"/>
      <c r="AM218" s="5"/>
      <c r="AN218" s="5"/>
      <c r="AO218" s="14"/>
      <c r="AP218" s="4"/>
    </row>
    <row r="219" spans="18:42">
      <c r="R219" s="9"/>
      <c r="AJ219" s="10"/>
      <c r="AK219" s="8"/>
      <c r="AM219" s="5"/>
      <c r="AN219" s="5"/>
      <c r="AO219" s="14"/>
      <c r="AP219" s="4"/>
    </row>
    <row r="220" spans="18:42">
      <c r="R220" s="9"/>
      <c r="AJ220" s="10"/>
      <c r="AK220" s="8"/>
      <c r="AM220" s="5"/>
      <c r="AN220" s="5"/>
      <c r="AO220" s="14"/>
      <c r="AP220" s="4"/>
    </row>
    <row r="221" spans="18:42">
      <c r="R221" s="9"/>
      <c r="AJ221" s="10"/>
      <c r="AK221" s="8"/>
      <c r="AM221" s="5"/>
      <c r="AN221" s="5"/>
      <c r="AO221" s="14"/>
      <c r="AP221" s="4"/>
    </row>
    <row r="222" spans="18:42">
      <c r="R222" s="9"/>
      <c r="AJ222" s="10"/>
      <c r="AK222" s="8"/>
      <c r="AM222" s="5"/>
      <c r="AN222" s="5"/>
      <c r="AO222" s="14"/>
      <c r="AP222" s="4"/>
    </row>
    <row r="223" spans="18:42">
      <c r="R223" s="9"/>
      <c r="AJ223" s="10"/>
      <c r="AK223" s="8"/>
      <c r="AM223" s="5"/>
      <c r="AN223" s="5"/>
      <c r="AO223" s="14"/>
      <c r="AP223" s="4"/>
    </row>
    <row r="224" spans="18:42">
      <c r="R224" s="9"/>
      <c r="AJ224" s="10"/>
      <c r="AK224" s="8"/>
      <c r="AM224" s="5"/>
      <c r="AN224" s="5"/>
      <c r="AO224" s="14"/>
      <c r="AP224" s="4"/>
    </row>
    <row r="225" spans="18:42">
      <c r="R225" s="9"/>
      <c r="AJ225" s="10"/>
      <c r="AK225" s="8"/>
      <c r="AM225" s="5"/>
      <c r="AN225" s="5"/>
      <c r="AO225" s="14"/>
      <c r="AP225" s="4"/>
    </row>
    <row r="226" spans="18:42">
      <c r="R226" s="9"/>
      <c r="AJ226" s="10"/>
      <c r="AK226" s="8"/>
      <c r="AM226" s="5"/>
      <c r="AN226" s="5"/>
      <c r="AO226" s="14"/>
      <c r="AP226" s="4"/>
    </row>
    <row r="227" spans="18:42">
      <c r="R227" s="9"/>
      <c r="AJ227" s="10"/>
      <c r="AK227" s="8"/>
      <c r="AM227" s="5"/>
      <c r="AN227" s="5"/>
      <c r="AO227" s="14"/>
      <c r="AP227" s="4"/>
    </row>
    <row r="228" spans="18:42">
      <c r="R228" s="9"/>
      <c r="AJ228" s="10"/>
      <c r="AK228" s="8"/>
      <c r="AM228" s="5"/>
      <c r="AN228" s="5"/>
      <c r="AO228" s="14"/>
      <c r="AP228" s="4"/>
    </row>
    <row r="229" spans="18:42">
      <c r="R229" s="9"/>
      <c r="AJ229" s="10"/>
      <c r="AK229" s="8"/>
      <c r="AM229" s="5"/>
      <c r="AN229" s="5"/>
      <c r="AO229" s="14"/>
      <c r="AP229" s="4"/>
    </row>
    <row r="230" spans="18:42">
      <c r="R230" s="9"/>
      <c r="AJ230" s="10"/>
      <c r="AK230" s="8"/>
      <c r="AM230" s="5"/>
      <c r="AN230" s="5"/>
      <c r="AO230" s="14"/>
      <c r="AP230" s="4"/>
    </row>
    <row r="231" spans="18:42">
      <c r="R231" s="9"/>
      <c r="AJ231" s="10"/>
      <c r="AK231" s="8"/>
      <c r="AM231" s="5"/>
      <c r="AN231" s="5"/>
      <c r="AO231" s="14"/>
      <c r="AP231" s="4"/>
    </row>
    <row r="232" spans="18:42">
      <c r="R232" s="9"/>
      <c r="AJ232" s="10"/>
      <c r="AK232" s="8"/>
      <c r="AM232" s="5"/>
      <c r="AN232" s="5"/>
      <c r="AO232" s="14"/>
      <c r="AP232" s="4"/>
    </row>
    <row r="233" spans="18:42">
      <c r="R233" s="9"/>
      <c r="AJ233" s="10"/>
      <c r="AK233" s="8"/>
      <c r="AM233" s="5"/>
      <c r="AN233" s="5"/>
      <c r="AO233" s="14"/>
      <c r="AP233" s="4"/>
    </row>
    <row r="234" spans="18:42">
      <c r="R234" s="9"/>
      <c r="AJ234" s="10"/>
      <c r="AK234" s="8"/>
      <c r="AM234" s="5"/>
      <c r="AN234" s="5"/>
      <c r="AO234" s="14"/>
      <c r="AP234" s="4"/>
    </row>
    <row r="235" spans="18:42">
      <c r="R235" s="9"/>
      <c r="AJ235" s="10"/>
      <c r="AK235" s="8"/>
      <c r="AM235" s="5"/>
      <c r="AN235" s="5"/>
      <c r="AO235" s="14"/>
      <c r="AP235" s="4"/>
    </row>
    <row r="236" spans="18:42">
      <c r="R236" s="9"/>
      <c r="AJ236" s="10"/>
      <c r="AK236" s="8"/>
      <c r="AM236" s="5"/>
      <c r="AN236" s="5"/>
      <c r="AO236" s="14"/>
      <c r="AP236" s="4"/>
    </row>
    <row r="237" spans="18:42">
      <c r="R237" s="9"/>
      <c r="AJ237" s="10"/>
      <c r="AK237" s="8"/>
      <c r="AM237" s="5"/>
      <c r="AN237" s="5"/>
      <c r="AO237" s="14"/>
      <c r="AP237" s="4"/>
    </row>
    <row r="238" spans="18:42">
      <c r="R238" s="9"/>
      <c r="AJ238" s="10"/>
      <c r="AK238" s="8"/>
      <c r="AM238" s="5"/>
      <c r="AN238" s="5"/>
      <c r="AO238" s="14"/>
      <c r="AP238" s="4"/>
    </row>
    <row r="239" spans="18:42">
      <c r="R239" s="9"/>
      <c r="AJ239" s="10"/>
      <c r="AK239" s="8"/>
      <c r="AM239" s="5"/>
      <c r="AN239" s="5"/>
      <c r="AO239" s="14"/>
      <c r="AP239" s="4"/>
    </row>
    <row r="240" spans="18:42">
      <c r="R240" s="9"/>
      <c r="AJ240" s="10"/>
      <c r="AK240" s="8"/>
      <c r="AM240" s="5"/>
      <c r="AN240" s="5"/>
      <c r="AO240" s="14"/>
      <c r="AP240" s="4"/>
    </row>
    <row r="241" spans="18:42">
      <c r="R241" s="9"/>
      <c r="AJ241" s="10"/>
      <c r="AK241" s="8"/>
      <c r="AM241" s="5"/>
      <c r="AN241" s="5"/>
      <c r="AO241" s="14"/>
      <c r="AP241" s="4"/>
    </row>
    <row r="242" spans="18:42">
      <c r="R242" s="9"/>
      <c r="AJ242" s="10"/>
      <c r="AK242" s="8"/>
      <c r="AM242" s="5"/>
      <c r="AN242" s="5"/>
      <c r="AO242" s="14"/>
      <c r="AP242" s="4"/>
    </row>
    <row r="243" spans="18:42">
      <c r="R243" s="9"/>
      <c r="AJ243" s="10"/>
      <c r="AK243" s="8"/>
      <c r="AM243" s="5"/>
      <c r="AN243" s="5"/>
      <c r="AO243" s="14"/>
      <c r="AP243" s="4"/>
    </row>
    <row r="244" spans="18:42">
      <c r="R244" s="9"/>
      <c r="AJ244" s="10"/>
      <c r="AK244" s="8"/>
      <c r="AM244" s="5"/>
      <c r="AN244" s="5"/>
      <c r="AO244" s="14"/>
      <c r="AP244" s="4"/>
    </row>
    <row r="245" spans="18:42">
      <c r="R245" s="9"/>
      <c r="AJ245" s="10"/>
      <c r="AK245" s="8"/>
      <c r="AM245" s="5"/>
      <c r="AN245" s="5"/>
      <c r="AO245" s="14"/>
      <c r="AP245" s="4"/>
    </row>
    <row r="246" spans="18:42">
      <c r="R246" s="9"/>
      <c r="AJ246" s="10"/>
      <c r="AK246" s="8"/>
      <c r="AM246" s="5"/>
      <c r="AN246" s="5"/>
      <c r="AO246" s="14"/>
      <c r="AP246" s="4"/>
    </row>
    <row r="247" spans="18:42">
      <c r="R247" s="9"/>
      <c r="AJ247" s="10"/>
      <c r="AK247" s="8"/>
      <c r="AM247" s="5"/>
      <c r="AN247" s="5"/>
      <c r="AO247" s="14"/>
      <c r="AP247" s="4"/>
    </row>
    <row r="248" spans="18:42">
      <c r="R248" s="9"/>
      <c r="AJ248" s="10"/>
      <c r="AK248" s="8"/>
      <c r="AM248" s="5"/>
      <c r="AN248" s="5"/>
      <c r="AO248" s="14"/>
      <c r="AP248" s="4"/>
    </row>
    <row r="249" spans="18:42">
      <c r="R249" s="9"/>
      <c r="AJ249" s="10"/>
      <c r="AK249" s="8"/>
      <c r="AM249" s="5"/>
      <c r="AN249" s="5"/>
      <c r="AO249" s="14"/>
      <c r="AP249" s="4"/>
    </row>
    <row r="250" spans="18:42">
      <c r="R250" s="9"/>
      <c r="AJ250" s="10"/>
      <c r="AK250" s="8"/>
      <c r="AM250" s="5"/>
      <c r="AN250" s="5"/>
      <c r="AO250" s="14"/>
      <c r="AP250" s="4"/>
    </row>
    <row r="251" spans="18:42">
      <c r="R251" s="9"/>
      <c r="AJ251" s="10"/>
      <c r="AK251" s="8"/>
      <c r="AM251" s="5"/>
      <c r="AN251" s="5"/>
      <c r="AO251" s="14"/>
      <c r="AP251" s="4"/>
    </row>
    <row r="252" spans="18:42">
      <c r="R252" s="9"/>
      <c r="AJ252" s="10"/>
      <c r="AK252" s="8"/>
      <c r="AM252" s="5"/>
      <c r="AN252" s="5"/>
      <c r="AO252" s="14"/>
      <c r="AP252" s="4"/>
    </row>
    <row r="253" spans="18:42">
      <c r="R253" s="9"/>
      <c r="AJ253" s="10"/>
      <c r="AK253" s="8"/>
      <c r="AM253" s="5"/>
      <c r="AN253" s="5"/>
      <c r="AO253" s="14"/>
      <c r="AP253" s="4"/>
    </row>
    <row r="254" spans="18:42">
      <c r="R254" s="9"/>
      <c r="AJ254" s="10"/>
      <c r="AK254" s="8"/>
      <c r="AM254" s="5"/>
      <c r="AN254" s="5"/>
      <c r="AO254" s="14"/>
      <c r="AP254" s="4"/>
    </row>
    <row r="255" spans="18:42">
      <c r="R255" s="9"/>
      <c r="AJ255" s="10"/>
      <c r="AK255" s="8"/>
      <c r="AM255" s="5"/>
      <c r="AN255" s="5"/>
      <c r="AO255" s="14"/>
      <c r="AP255" s="4"/>
    </row>
    <row r="256" spans="18:42">
      <c r="R256" s="9"/>
      <c r="AJ256" s="10"/>
      <c r="AK256" s="8"/>
      <c r="AM256" s="5"/>
      <c r="AN256" s="5"/>
      <c r="AO256" s="14"/>
      <c r="AP256" s="4"/>
    </row>
    <row r="257" spans="18:42">
      <c r="R257" s="9"/>
      <c r="AJ257" s="10"/>
      <c r="AK257" s="8"/>
      <c r="AM257" s="5"/>
      <c r="AN257" s="5"/>
      <c r="AO257" s="14"/>
      <c r="AP257" s="4"/>
    </row>
    <row r="258" spans="18:42">
      <c r="R258" s="9"/>
      <c r="AJ258" s="10"/>
      <c r="AK258" s="8"/>
      <c r="AM258" s="5"/>
      <c r="AN258" s="5"/>
      <c r="AO258" s="14"/>
      <c r="AP258" s="4"/>
    </row>
    <row r="259" spans="18:42">
      <c r="R259" s="9"/>
      <c r="AJ259" s="10"/>
      <c r="AK259" s="8"/>
      <c r="AM259" s="5"/>
      <c r="AN259" s="5"/>
      <c r="AO259" s="14"/>
      <c r="AP259" s="4"/>
    </row>
    <row r="260" spans="18:42">
      <c r="R260" s="9"/>
      <c r="AJ260" s="10"/>
      <c r="AK260" s="8"/>
      <c r="AM260" s="5"/>
      <c r="AN260" s="5"/>
      <c r="AO260" s="14"/>
      <c r="AP260" s="4"/>
    </row>
    <row r="261" spans="18:42">
      <c r="R261" s="9"/>
      <c r="AJ261" s="10"/>
      <c r="AK261" s="8"/>
      <c r="AM261" s="5"/>
      <c r="AN261" s="5"/>
      <c r="AO261" s="14"/>
      <c r="AP261" s="4"/>
    </row>
    <row r="262" spans="18:42">
      <c r="R262" s="9"/>
      <c r="AJ262" s="10"/>
      <c r="AK262" s="8"/>
      <c r="AM262" s="5"/>
      <c r="AN262" s="5"/>
      <c r="AO262" s="14"/>
      <c r="AP262" s="4"/>
    </row>
    <row r="263" spans="18:42">
      <c r="R263" s="9"/>
      <c r="AJ263" s="10"/>
      <c r="AK263" s="8"/>
      <c r="AM263" s="5"/>
      <c r="AN263" s="5"/>
      <c r="AO263" s="14"/>
      <c r="AP263" s="4"/>
    </row>
    <row r="264" spans="18:42">
      <c r="R264" s="9"/>
      <c r="AJ264" s="10"/>
      <c r="AK264" s="8"/>
      <c r="AM264" s="5"/>
      <c r="AN264" s="5"/>
      <c r="AO264" s="14"/>
      <c r="AP264" s="4"/>
    </row>
    <row r="265" spans="18:42">
      <c r="R265" s="9"/>
      <c r="AJ265" s="10"/>
      <c r="AK265" s="8"/>
      <c r="AM265" s="5"/>
      <c r="AN265" s="5"/>
      <c r="AO265" s="14"/>
      <c r="AP265" s="4"/>
    </row>
    <row r="266" spans="18:42">
      <c r="R266" s="9"/>
      <c r="AJ266" s="10"/>
      <c r="AK266" s="8"/>
      <c r="AM266" s="5"/>
      <c r="AN266" s="5"/>
      <c r="AO266" s="14"/>
      <c r="AP266" s="4"/>
    </row>
    <row r="267" spans="18:42">
      <c r="R267" s="9"/>
      <c r="AJ267" s="10"/>
      <c r="AK267" s="8"/>
      <c r="AM267" s="5"/>
      <c r="AN267" s="5"/>
      <c r="AO267" s="14"/>
      <c r="AP267" s="4"/>
    </row>
    <row r="268" spans="18:42">
      <c r="R268" s="9"/>
      <c r="AJ268" s="10"/>
      <c r="AK268" s="8"/>
      <c r="AM268" s="5"/>
      <c r="AN268" s="5"/>
      <c r="AO268" s="14"/>
      <c r="AP268" s="4"/>
    </row>
    <row r="269" spans="18:42">
      <c r="R269" s="9"/>
      <c r="AJ269" s="10"/>
      <c r="AK269" s="8"/>
      <c r="AM269" s="5"/>
      <c r="AN269" s="5"/>
      <c r="AO269" s="14"/>
      <c r="AP269" s="4"/>
    </row>
    <row r="270" spans="18:42">
      <c r="R270" s="9"/>
      <c r="AJ270" s="10"/>
      <c r="AK270" s="8"/>
      <c r="AM270" s="5"/>
      <c r="AN270" s="5"/>
      <c r="AO270" s="14"/>
      <c r="AP270" s="4"/>
    </row>
    <row r="271" spans="18:42">
      <c r="R271" s="9"/>
      <c r="AJ271" s="10"/>
      <c r="AK271" s="8"/>
      <c r="AM271" s="5"/>
      <c r="AN271" s="5"/>
      <c r="AO271" s="14"/>
      <c r="AP271" s="4"/>
    </row>
    <row r="272" spans="18:42">
      <c r="R272" s="9"/>
      <c r="AJ272" s="10"/>
      <c r="AK272" s="8"/>
      <c r="AM272" s="5"/>
      <c r="AN272" s="5"/>
      <c r="AO272" s="14"/>
      <c r="AP272" s="4"/>
    </row>
    <row r="273" spans="18:42">
      <c r="R273" s="9"/>
      <c r="AJ273" s="10"/>
      <c r="AK273" s="8"/>
      <c r="AM273" s="5"/>
      <c r="AN273" s="5"/>
      <c r="AO273" s="14"/>
      <c r="AP273" s="4"/>
    </row>
    <row r="274" spans="18:42">
      <c r="R274" s="9"/>
      <c r="AJ274" s="10"/>
      <c r="AK274" s="8"/>
      <c r="AM274" s="5"/>
      <c r="AN274" s="5"/>
      <c r="AO274" s="14"/>
      <c r="AP274" s="4"/>
    </row>
    <row r="275" spans="18:42">
      <c r="R275" s="9"/>
      <c r="AJ275" s="10"/>
      <c r="AK275" s="8"/>
      <c r="AM275" s="5"/>
      <c r="AN275" s="5"/>
      <c r="AO275" s="14"/>
      <c r="AP275" s="4"/>
    </row>
    <row r="276" spans="18:42">
      <c r="R276" s="9"/>
      <c r="AJ276" s="10"/>
      <c r="AK276" s="8"/>
      <c r="AM276" s="5"/>
      <c r="AN276" s="5"/>
      <c r="AO276" s="14"/>
      <c r="AP276" s="4"/>
    </row>
    <row r="277" spans="18:42">
      <c r="R277" s="9"/>
      <c r="AJ277" s="10"/>
      <c r="AK277" s="8"/>
      <c r="AM277" s="5"/>
      <c r="AN277" s="5"/>
      <c r="AO277" s="14"/>
      <c r="AP277" s="4"/>
    </row>
    <row r="278" spans="18:42">
      <c r="R278" s="9"/>
      <c r="AJ278" s="10"/>
      <c r="AK278" s="8"/>
      <c r="AM278" s="5"/>
      <c r="AN278" s="5"/>
      <c r="AO278" s="14"/>
      <c r="AP278" s="4"/>
    </row>
    <row r="279" spans="18:42">
      <c r="R279" s="9"/>
      <c r="AJ279" s="10"/>
      <c r="AK279" s="8"/>
      <c r="AM279" s="5"/>
      <c r="AN279" s="5"/>
      <c r="AO279" s="14"/>
      <c r="AP279" s="4"/>
    </row>
    <row r="280" spans="18:42">
      <c r="R280" s="9"/>
      <c r="AJ280" s="10"/>
      <c r="AK280" s="8"/>
      <c r="AM280" s="5"/>
      <c r="AN280" s="5"/>
      <c r="AO280" s="14"/>
      <c r="AP280" s="4"/>
    </row>
    <row r="281" spans="18:42">
      <c r="R281" s="9"/>
      <c r="AJ281" s="10"/>
      <c r="AK281" s="8"/>
      <c r="AM281" s="5"/>
      <c r="AN281" s="5"/>
      <c r="AO281" s="14"/>
      <c r="AP281" s="4"/>
    </row>
    <row r="282" spans="18:42">
      <c r="R282" s="9"/>
      <c r="AJ282" s="10"/>
      <c r="AK282" s="8"/>
      <c r="AM282" s="5"/>
      <c r="AN282" s="5"/>
      <c r="AO282" s="14"/>
      <c r="AP282" s="4"/>
    </row>
    <row r="283" spans="18:42">
      <c r="R283" s="9"/>
      <c r="AJ283" s="10"/>
      <c r="AK283" s="8"/>
      <c r="AM283" s="5"/>
      <c r="AN283" s="5"/>
      <c r="AO283" s="14"/>
      <c r="AP283" s="4"/>
    </row>
    <row r="284" spans="18:42">
      <c r="R284" s="9"/>
      <c r="AJ284" s="10"/>
      <c r="AK284" s="8"/>
      <c r="AM284" s="5"/>
      <c r="AN284" s="5"/>
      <c r="AO284" s="14"/>
      <c r="AP284" s="4"/>
    </row>
    <row r="285" spans="18:42">
      <c r="R285" s="9"/>
      <c r="AJ285" s="10"/>
      <c r="AK285" s="8"/>
      <c r="AM285" s="5"/>
      <c r="AN285" s="5"/>
      <c r="AO285" s="14"/>
      <c r="AP285" s="4"/>
    </row>
    <row r="286" spans="18:42">
      <c r="R286" s="9"/>
      <c r="AJ286" s="10"/>
      <c r="AK286" s="8"/>
      <c r="AM286" s="5"/>
      <c r="AN286" s="5"/>
      <c r="AO286" s="14"/>
      <c r="AP286" s="4"/>
    </row>
    <row r="287" spans="18:42">
      <c r="R287" s="9"/>
      <c r="AJ287" s="10"/>
      <c r="AK287" s="8"/>
      <c r="AM287" s="5"/>
      <c r="AN287" s="5"/>
      <c r="AO287" s="14"/>
      <c r="AP287" s="4"/>
    </row>
    <row r="288" spans="18:42">
      <c r="R288" s="9"/>
      <c r="AJ288" s="10"/>
      <c r="AK288" s="8"/>
      <c r="AM288" s="5"/>
      <c r="AN288" s="5"/>
      <c r="AO288" s="14"/>
      <c r="AP288" s="4"/>
    </row>
    <row r="289" spans="18:42">
      <c r="R289" s="9"/>
      <c r="AJ289" s="10"/>
      <c r="AK289" s="8"/>
      <c r="AM289" s="5"/>
      <c r="AN289" s="5"/>
      <c r="AO289" s="14"/>
      <c r="AP289" s="4"/>
    </row>
    <row r="290" spans="18:42">
      <c r="R290" s="9"/>
      <c r="AJ290" s="10"/>
      <c r="AK290" s="8"/>
      <c r="AM290" s="5"/>
      <c r="AN290" s="5"/>
      <c r="AO290" s="14"/>
      <c r="AP290" s="4"/>
    </row>
    <row r="291" spans="18:42">
      <c r="R291" s="9"/>
      <c r="AJ291" s="10"/>
      <c r="AK291" s="8"/>
      <c r="AM291" s="5"/>
      <c r="AN291" s="5"/>
      <c r="AO291" s="14"/>
      <c r="AP291" s="4"/>
    </row>
    <row r="292" spans="18:42">
      <c r="R292" s="9"/>
      <c r="AJ292" s="10"/>
      <c r="AK292" s="8"/>
      <c r="AM292" s="5"/>
      <c r="AN292" s="5"/>
      <c r="AO292" s="14"/>
      <c r="AP292" s="4"/>
    </row>
    <row r="293" spans="18:42">
      <c r="R293" s="9"/>
      <c r="AJ293" s="10"/>
      <c r="AK293" s="8"/>
      <c r="AM293" s="5"/>
      <c r="AN293" s="5"/>
      <c r="AO293" s="14"/>
      <c r="AP293" s="4"/>
    </row>
    <row r="294" spans="18:42">
      <c r="R294" s="9"/>
      <c r="AJ294" s="10"/>
      <c r="AK294" s="8"/>
      <c r="AM294" s="5"/>
      <c r="AN294" s="5"/>
      <c r="AO294" s="14"/>
      <c r="AP294" s="4"/>
    </row>
    <row r="295" spans="18:42">
      <c r="R295" s="9"/>
      <c r="AJ295" s="10"/>
      <c r="AK295" s="8"/>
      <c r="AM295" s="5"/>
      <c r="AN295" s="5"/>
      <c r="AO295" s="14"/>
      <c r="AP295" s="4"/>
    </row>
    <row r="296" spans="18:42">
      <c r="R296" s="9"/>
      <c r="AJ296" s="10"/>
      <c r="AK296" s="8"/>
      <c r="AM296" s="5"/>
      <c r="AN296" s="5"/>
      <c r="AO296" s="14"/>
      <c r="AP296" s="4"/>
    </row>
    <row r="297" spans="18:42">
      <c r="R297" s="9"/>
      <c r="AJ297" s="10"/>
      <c r="AK297" s="8"/>
      <c r="AM297" s="5"/>
      <c r="AN297" s="5"/>
      <c r="AO297" s="14"/>
      <c r="AP297" s="4"/>
    </row>
    <row r="298" spans="18:42">
      <c r="R298" s="9"/>
      <c r="AJ298" s="10"/>
      <c r="AK298" s="8"/>
      <c r="AM298" s="5"/>
      <c r="AN298" s="5"/>
      <c r="AO298" s="14"/>
      <c r="AP298" s="4"/>
    </row>
    <row r="299" spans="18:42">
      <c r="R299" s="9"/>
      <c r="AJ299" s="10"/>
      <c r="AK299" s="8"/>
      <c r="AM299" s="5"/>
      <c r="AN299" s="5"/>
      <c r="AO299" s="14"/>
      <c r="AP299" s="4"/>
    </row>
    <row r="300" spans="18:42">
      <c r="R300" s="9"/>
      <c r="AJ300" s="10"/>
      <c r="AK300" s="8"/>
      <c r="AM300" s="5"/>
      <c r="AN300" s="5"/>
      <c r="AO300" s="14"/>
      <c r="AP300" s="4"/>
    </row>
    <row r="301" spans="18:42">
      <c r="R301" s="9"/>
      <c r="AJ301" s="10"/>
      <c r="AK301" s="8"/>
      <c r="AM301" s="5"/>
      <c r="AN301" s="5"/>
      <c r="AO301" s="14"/>
      <c r="AP301" s="4"/>
    </row>
    <row r="302" spans="18:42">
      <c r="R302" s="9"/>
      <c r="AJ302" s="10"/>
      <c r="AK302" s="8"/>
      <c r="AM302" s="5"/>
      <c r="AN302" s="5"/>
      <c r="AO302" s="14"/>
      <c r="AP302" s="4"/>
    </row>
    <row r="303" spans="18:42">
      <c r="R303" s="9"/>
      <c r="AJ303" s="10"/>
      <c r="AK303" s="8"/>
      <c r="AM303" s="5"/>
      <c r="AN303" s="5"/>
      <c r="AO303" s="14"/>
      <c r="AP303" s="4"/>
    </row>
    <row r="304" spans="18:42">
      <c r="R304" s="9"/>
      <c r="AJ304" s="10"/>
      <c r="AK304" s="8"/>
      <c r="AM304" s="5"/>
      <c r="AN304" s="5"/>
      <c r="AO304" s="14"/>
      <c r="AP304" s="4"/>
    </row>
    <row r="305" spans="18:42">
      <c r="R305" s="9"/>
      <c r="AJ305" s="10"/>
      <c r="AK305" s="8"/>
      <c r="AM305" s="5"/>
      <c r="AN305" s="5"/>
      <c r="AO305" s="14"/>
      <c r="AP305" s="4"/>
    </row>
    <row r="306" spans="18:42">
      <c r="R306" s="9"/>
      <c r="AJ306" s="10"/>
      <c r="AK306" s="8"/>
      <c r="AM306" s="5"/>
      <c r="AN306" s="5"/>
      <c r="AO306" s="14"/>
      <c r="AP306" s="4"/>
    </row>
    <row r="307" spans="18:42">
      <c r="R307" s="9"/>
      <c r="AJ307" s="10"/>
      <c r="AK307" s="8"/>
      <c r="AM307" s="5"/>
      <c r="AN307" s="5"/>
      <c r="AO307" s="14"/>
      <c r="AP307" s="4"/>
    </row>
    <row r="308" spans="18:42">
      <c r="R308" s="9"/>
      <c r="AJ308" s="10"/>
      <c r="AK308" s="8"/>
      <c r="AM308" s="5"/>
      <c r="AN308" s="5"/>
      <c r="AO308" s="14"/>
      <c r="AP308" s="4"/>
    </row>
    <row r="309" spans="18:42">
      <c r="R309" s="9"/>
      <c r="AJ309" s="10"/>
      <c r="AK309" s="8"/>
      <c r="AM309" s="5"/>
      <c r="AN309" s="5"/>
      <c r="AO309" s="14"/>
      <c r="AP309" s="4"/>
    </row>
    <row r="310" spans="18:42">
      <c r="R310" s="9"/>
      <c r="AJ310" s="10"/>
      <c r="AK310" s="8"/>
      <c r="AM310" s="5"/>
      <c r="AN310" s="5"/>
      <c r="AO310" s="14"/>
      <c r="AP310" s="4"/>
    </row>
    <row r="311" spans="18:42">
      <c r="R311" s="9"/>
      <c r="AJ311" s="10"/>
      <c r="AK311" s="8"/>
      <c r="AM311" s="5"/>
      <c r="AN311" s="5"/>
      <c r="AO311" s="14"/>
      <c r="AP311" s="4"/>
    </row>
    <row r="312" spans="18:42">
      <c r="R312" s="9"/>
      <c r="AJ312" s="10"/>
      <c r="AK312" s="8"/>
      <c r="AM312" s="5"/>
      <c r="AN312" s="5"/>
      <c r="AO312" s="14"/>
      <c r="AP312" s="4"/>
    </row>
    <row r="313" spans="18:42">
      <c r="R313" s="9"/>
      <c r="AJ313" s="10"/>
      <c r="AK313" s="8"/>
      <c r="AM313" s="5"/>
      <c r="AN313" s="5"/>
      <c r="AO313" s="14"/>
      <c r="AP313" s="4"/>
    </row>
    <row r="314" spans="18:42">
      <c r="R314" s="9"/>
      <c r="AJ314" s="10"/>
      <c r="AK314" s="8"/>
      <c r="AM314" s="5"/>
      <c r="AN314" s="5"/>
      <c r="AO314" s="14"/>
      <c r="AP314" s="4"/>
    </row>
    <row r="315" spans="18:42">
      <c r="R315" s="9"/>
      <c r="AJ315" s="10"/>
      <c r="AK315" s="8"/>
      <c r="AM315" s="5"/>
      <c r="AN315" s="5"/>
      <c r="AO315" s="14"/>
      <c r="AP315" s="4"/>
    </row>
    <row r="316" spans="18:42">
      <c r="R316" s="9"/>
      <c r="AJ316" s="10"/>
      <c r="AK316" s="8"/>
      <c r="AM316" s="5"/>
      <c r="AN316" s="5"/>
      <c r="AO316" s="14"/>
      <c r="AP316" s="4"/>
    </row>
    <row r="317" spans="18:42">
      <c r="R317" s="9"/>
      <c r="AJ317" s="10"/>
      <c r="AK317" s="8"/>
      <c r="AM317" s="5"/>
      <c r="AN317" s="5"/>
      <c r="AO317" s="14"/>
      <c r="AP317" s="4"/>
    </row>
    <row r="318" spans="18:42">
      <c r="R318" s="9"/>
      <c r="AJ318" s="10"/>
      <c r="AK318" s="8"/>
      <c r="AM318" s="5"/>
      <c r="AN318" s="5"/>
      <c r="AO318" s="14"/>
      <c r="AP318" s="4"/>
    </row>
    <row r="319" spans="18:42">
      <c r="R319" s="9"/>
      <c r="AJ319" s="10"/>
      <c r="AK319" s="8"/>
      <c r="AM319" s="5"/>
      <c r="AN319" s="5"/>
      <c r="AO319" s="14"/>
      <c r="AP319" s="4"/>
    </row>
    <row r="320" spans="18:42">
      <c r="R320" s="9"/>
      <c r="AJ320" s="10"/>
      <c r="AK320" s="8"/>
      <c r="AM320" s="5"/>
      <c r="AN320" s="5"/>
      <c r="AO320" s="14"/>
      <c r="AP320" s="4"/>
    </row>
    <row r="321" spans="18:42">
      <c r="R321" s="9"/>
      <c r="AJ321" s="10"/>
      <c r="AK321" s="8"/>
      <c r="AM321" s="5"/>
      <c r="AN321" s="5"/>
      <c r="AO321" s="14"/>
      <c r="AP321" s="4"/>
    </row>
    <row r="322" spans="18:42">
      <c r="R322" s="9"/>
      <c r="AJ322" s="10"/>
      <c r="AK322" s="8"/>
      <c r="AM322" s="5"/>
      <c r="AN322" s="5"/>
      <c r="AO322" s="14"/>
      <c r="AP322" s="4"/>
    </row>
    <row r="323" spans="18:42">
      <c r="R323" s="9"/>
      <c r="AJ323" s="10"/>
      <c r="AK323" s="8"/>
      <c r="AM323" s="5"/>
      <c r="AN323" s="5"/>
      <c r="AO323" s="14"/>
      <c r="AP323" s="4"/>
    </row>
    <row r="324" spans="18:42">
      <c r="R324" s="9"/>
      <c r="AJ324" s="10"/>
      <c r="AK324" s="8"/>
      <c r="AM324" s="5"/>
      <c r="AN324" s="5"/>
      <c r="AO324" s="14"/>
      <c r="AP324" s="4"/>
    </row>
    <row r="325" spans="18:42">
      <c r="R325" s="9"/>
      <c r="AJ325" s="10"/>
      <c r="AK325" s="8"/>
      <c r="AM325" s="5"/>
      <c r="AN325" s="5"/>
      <c r="AO325" s="14"/>
      <c r="AP325" s="4"/>
    </row>
    <row r="326" spans="18:42">
      <c r="R326" s="9"/>
      <c r="AJ326" s="10"/>
      <c r="AK326" s="8"/>
      <c r="AM326" s="5"/>
      <c r="AN326" s="5"/>
      <c r="AO326" s="14"/>
      <c r="AP326" s="4"/>
    </row>
    <row r="327" spans="18:42">
      <c r="R327" s="9"/>
      <c r="AJ327" s="10"/>
      <c r="AK327" s="8"/>
      <c r="AM327" s="5"/>
      <c r="AN327" s="5"/>
      <c r="AO327" s="14"/>
      <c r="AP327" s="4"/>
    </row>
    <row r="328" spans="18:42">
      <c r="R328" s="9"/>
      <c r="AJ328" s="10"/>
      <c r="AK328" s="8"/>
      <c r="AM328" s="5"/>
      <c r="AN328" s="5"/>
      <c r="AO328" s="14"/>
      <c r="AP328" s="4"/>
    </row>
    <row r="329" spans="18:42">
      <c r="R329" s="9"/>
      <c r="AJ329" s="10"/>
      <c r="AK329" s="8"/>
      <c r="AM329" s="5"/>
      <c r="AN329" s="5"/>
      <c r="AO329" s="14"/>
      <c r="AP329" s="4"/>
    </row>
    <row r="330" spans="18:42">
      <c r="R330" s="9"/>
      <c r="AJ330" s="10"/>
      <c r="AK330" s="8"/>
      <c r="AM330" s="5"/>
      <c r="AN330" s="5"/>
      <c r="AO330" s="14"/>
      <c r="AP330" s="4"/>
    </row>
    <row r="331" spans="18:42">
      <c r="R331" s="9"/>
      <c r="AJ331" s="10"/>
      <c r="AK331" s="8"/>
      <c r="AM331" s="5"/>
      <c r="AN331" s="5"/>
      <c r="AO331" s="14"/>
      <c r="AP331" s="4"/>
    </row>
    <row r="332" spans="18:42">
      <c r="R332" s="9"/>
      <c r="AJ332" s="10"/>
      <c r="AK332" s="8"/>
      <c r="AM332" s="5"/>
      <c r="AN332" s="5"/>
      <c r="AO332" s="14"/>
      <c r="AP332" s="4"/>
    </row>
    <row r="333" spans="18:42">
      <c r="R333" s="9"/>
      <c r="AJ333" s="10"/>
      <c r="AK333" s="8"/>
      <c r="AM333" s="5"/>
      <c r="AN333" s="5"/>
      <c r="AO333" s="14"/>
      <c r="AP333" s="4"/>
    </row>
    <row r="334" spans="18:42">
      <c r="R334" s="9"/>
      <c r="AJ334" s="10"/>
      <c r="AK334" s="8"/>
      <c r="AM334" s="5"/>
      <c r="AN334" s="5"/>
      <c r="AO334" s="14"/>
      <c r="AP334" s="4"/>
    </row>
    <row r="335" spans="18:42">
      <c r="R335" s="9"/>
      <c r="AJ335" s="10"/>
      <c r="AK335" s="8"/>
      <c r="AM335" s="5"/>
      <c r="AN335" s="5"/>
      <c r="AO335" s="14"/>
      <c r="AP335" s="4"/>
    </row>
    <row r="336" spans="18:42">
      <c r="R336" s="9"/>
      <c r="AJ336" s="10"/>
      <c r="AK336" s="8"/>
      <c r="AM336" s="5"/>
      <c r="AN336" s="5"/>
      <c r="AO336" s="14"/>
      <c r="AP336" s="4"/>
    </row>
    <row r="337" spans="18:42">
      <c r="R337" s="9"/>
      <c r="AJ337" s="10"/>
      <c r="AK337" s="8"/>
      <c r="AM337" s="5"/>
      <c r="AN337" s="5"/>
      <c r="AO337" s="14"/>
      <c r="AP337" s="4"/>
    </row>
    <row r="338" spans="18:42">
      <c r="R338" s="9"/>
      <c r="AJ338" s="10"/>
      <c r="AK338" s="8"/>
      <c r="AM338" s="5"/>
      <c r="AN338" s="5"/>
      <c r="AO338" s="14"/>
      <c r="AP338" s="4"/>
    </row>
    <row r="339" spans="18:42">
      <c r="R339" s="9"/>
      <c r="AJ339" s="10"/>
      <c r="AK339" s="8"/>
      <c r="AM339" s="5"/>
      <c r="AN339" s="5"/>
      <c r="AO339" s="14"/>
      <c r="AP339" s="4"/>
    </row>
    <row r="340" spans="18:42">
      <c r="R340" s="9"/>
      <c r="AJ340" s="10"/>
      <c r="AK340" s="8"/>
      <c r="AM340" s="5"/>
      <c r="AN340" s="5"/>
      <c r="AO340" s="14"/>
      <c r="AP340" s="4"/>
    </row>
    <row r="341" spans="18:42">
      <c r="R341" s="9"/>
      <c r="AJ341" s="10"/>
      <c r="AK341" s="8"/>
      <c r="AM341" s="5"/>
      <c r="AN341" s="5"/>
      <c r="AO341" s="14"/>
      <c r="AP341" s="4"/>
    </row>
    <row r="342" spans="18:42">
      <c r="R342" s="9"/>
      <c r="AJ342" s="10"/>
      <c r="AK342" s="8"/>
      <c r="AM342" s="5"/>
      <c r="AN342" s="5"/>
      <c r="AO342" s="14"/>
      <c r="AP342" s="4"/>
    </row>
    <row r="343" spans="18:42">
      <c r="R343" s="9"/>
      <c r="AJ343" s="10"/>
      <c r="AK343" s="8"/>
      <c r="AM343" s="5"/>
      <c r="AN343" s="5"/>
      <c r="AO343" s="14"/>
      <c r="AP343" s="4"/>
    </row>
    <row r="344" spans="18:42">
      <c r="R344" s="9"/>
      <c r="AJ344" s="10"/>
      <c r="AK344" s="8"/>
      <c r="AM344" s="5"/>
      <c r="AN344" s="5"/>
      <c r="AO344" s="14"/>
      <c r="AP344" s="4"/>
    </row>
    <row r="345" spans="18:42">
      <c r="R345" s="9"/>
      <c r="AJ345" s="10"/>
      <c r="AK345" s="8"/>
      <c r="AM345" s="5"/>
      <c r="AN345" s="5"/>
      <c r="AO345" s="14"/>
      <c r="AP345" s="4"/>
    </row>
    <row r="346" spans="18:42">
      <c r="R346" s="9"/>
      <c r="AJ346" s="10"/>
      <c r="AK346" s="8"/>
      <c r="AM346" s="5"/>
      <c r="AN346" s="5"/>
      <c r="AO346" s="14"/>
      <c r="AP346" s="4"/>
    </row>
    <row r="347" spans="18:42">
      <c r="R347" s="9"/>
      <c r="AJ347" s="10"/>
      <c r="AK347" s="8"/>
      <c r="AM347" s="5"/>
      <c r="AN347" s="5"/>
      <c r="AO347" s="14"/>
      <c r="AP347" s="4"/>
    </row>
    <row r="348" spans="18:42">
      <c r="R348" s="9"/>
      <c r="AJ348" s="10"/>
      <c r="AK348" s="8"/>
      <c r="AM348" s="5"/>
      <c r="AN348" s="5"/>
      <c r="AO348" s="14"/>
      <c r="AP348" s="4"/>
    </row>
    <row r="349" spans="18:42">
      <c r="R349" s="9"/>
      <c r="AJ349" s="10"/>
      <c r="AK349" s="8"/>
      <c r="AM349" s="5"/>
      <c r="AN349" s="5"/>
      <c r="AO349" s="14"/>
      <c r="AP349" s="4"/>
    </row>
    <row r="350" spans="18:42">
      <c r="R350" s="9"/>
      <c r="AJ350" s="10"/>
      <c r="AK350" s="8"/>
      <c r="AM350" s="5"/>
      <c r="AN350" s="5"/>
      <c r="AO350" s="14"/>
      <c r="AP350" s="4"/>
    </row>
    <row r="351" spans="18:42">
      <c r="R351" s="9"/>
      <c r="AJ351" s="10"/>
      <c r="AK351" s="8"/>
      <c r="AM351" s="5"/>
      <c r="AN351" s="5"/>
      <c r="AO351" s="14"/>
      <c r="AP351" s="4"/>
    </row>
    <row r="352" spans="18:42">
      <c r="R352" s="9"/>
      <c r="AJ352" s="10"/>
      <c r="AK352" s="8"/>
      <c r="AM352" s="5"/>
      <c r="AN352" s="5"/>
      <c r="AO352" s="14"/>
      <c r="AP352" s="4"/>
    </row>
    <row r="353" spans="18:42">
      <c r="R353" s="9"/>
      <c r="AJ353" s="10"/>
      <c r="AK353" s="8"/>
      <c r="AM353" s="5"/>
      <c r="AN353" s="5"/>
      <c r="AO353" s="14"/>
      <c r="AP353" s="4"/>
    </row>
    <row r="354" spans="18:42">
      <c r="R354" s="9"/>
      <c r="AJ354" s="10"/>
      <c r="AK354" s="8"/>
      <c r="AM354" s="5"/>
      <c r="AN354" s="5"/>
      <c r="AO354" s="14"/>
      <c r="AP354" s="4"/>
    </row>
    <row r="355" spans="18:42">
      <c r="R355" s="9"/>
      <c r="AJ355" s="10"/>
      <c r="AK355" s="8"/>
      <c r="AM355" s="5"/>
      <c r="AN355" s="5"/>
      <c r="AO355" s="14"/>
      <c r="AP355" s="4"/>
    </row>
    <row r="356" spans="18:42">
      <c r="R356" s="9"/>
      <c r="AJ356" s="10"/>
      <c r="AK356" s="8"/>
      <c r="AM356" s="5"/>
      <c r="AN356" s="5"/>
      <c r="AO356" s="14"/>
      <c r="AP356" s="4"/>
    </row>
    <row r="357" spans="18:42">
      <c r="R357" s="9"/>
      <c r="AJ357" s="10"/>
      <c r="AK357" s="8"/>
      <c r="AM357" s="5"/>
      <c r="AN357" s="5"/>
      <c r="AO357" s="14"/>
      <c r="AP357" s="4"/>
    </row>
    <row r="358" spans="18:42">
      <c r="R358" s="9"/>
      <c r="AJ358" s="10"/>
      <c r="AK358" s="8"/>
      <c r="AM358" s="5"/>
      <c r="AN358" s="5"/>
      <c r="AO358" s="14"/>
      <c r="AP358" s="4"/>
    </row>
    <row r="359" spans="18:42">
      <c r="R359" s="9"/>
      <c r="AJ359" s="10"/>
      <c r="AK359" s="8"/>
      <c r="AM359" s="5"/>
      <c r="AN359" s="5"/>
      <c r="AO359" s="14"/>
      <c r="AP359" s="4"/>
    </row>
    <row r="360" spans="18:42">
      <c r="R360" s="9"/>
      <c r="AJ360" s="10"/>
      <c r="AK360" s="8"/>
      <c r="AM360" s="5"/>
      <c r="AN360" s="5"/>
      <c r="AO360" s="14"/>
      <c r="AP360" s="4"/>
    </row>
    <row r="361" spans="18:42">
      <c r="R361" s="9"/>
      <c r="AJ361" s="10"/>
      <c r="AK361" s="8"/>
      <c r="AM361" s="5"/>
      <c r="AN361" s="5"/>
      <c r="AO361" s="14"/>
      <c r="AP361" s="4"/>
    </row>
    <row r="362" spans="18:42">
      <c r="R362" s="9"/>
      <c r="AJ362" s="10"/>
      <c r="AK362" s="8"/>
      <c r="AM362" s="5"/>
      <c r="AN362" s="5"/>
      <c r="AO362" s="14"/>
      <c r="AP362" s="4"/>
    </row>
    <row r="363" spans="18:42">
      <c r="R363" s="9"/>
      <c r="AJ363" s="10"/>
      <c r="AK363" s="8"/>
      <c r="AM363" s="5"/>
      <c r="AN363" s="5"/>
      <c r="AO363" s="14"/>
      <c r="AP363" s="4"/>
    </row>
    <row r="364" spans="18:42">
      <c r="R364" s="9"/>
      <c r="AJ364" s="10"/>
      <c r="AK364" s="8"/>
      <c r="AM364" s="5"/>
      <c r="AN364" s="5"/>
      <c r="AO364" s="14"/>
      <c r="AP364" s="4"/>
    </row>
    <row r="365" spans="18:42">
      <c r="R365" s="9"/>
      <c r="AJ365" s="10"/>
      <c r="AK365" s="8"/>
      <c r="AM365" s="5"/>
      <c r="AN365" s="5"/>
      <c r="AO365" s="14"/>
      <c r="AP365" s="4"/>
    </row>
    <row r="366" spans="18:42">
      <c r="R366" s="9"/>
      <c r="AJ366" s="10"/>
      <c r="AK366" s="8"/>
      <c r="AM366" s="5"/>
      <c r="AN366" s="5"/>
      <c r="AO366" s="14"/>
      <c r="AP366" s="4"/>
    </row>
    <row r="367" spans="18:42">
      <c r="R367" s="9"/>
      <c r="AJ367" s="10"/>
      <c r="AK367" s="8"/>
      <c r="AM367" s="5"/>
      <c r="AN367" s="5"/>
      <c r="AO367" s="14"/>
      <c r="AP367" s="4"/>
    </row>
    <row r="368" spans="18:42">
      <c r="R368" s="9"/>
      <c r="AJ368" s="10"/>
      <c r="AK368" s="8"/>
      <c r="AM368" s="5"/>
      <c r="AN368" s="5"/>
      <c r="AO368" s="14"/>
      <c r="AP368" s="4"/>
    </row>
    <row r="369" spans="18:42">
      <c r="R369" s="9"/>
      <c r="AJ369" s="10"/>
      <c r="AK369" s="8"/>
      <c r="AM369" s="5"/>
      <c r="AN369" s="5"/>
      <c r="AO369" s="14"/>
      <c r="AP369" s="4"/>
    </row>
    <row r="370" spans="18:42">
      <c r="R370" s="9"/>
      <c r="AJ370" s="10"/>
      <c r="AK370" s="8"/>
      <c r="AM370" s="5"/>
      <c r="AN370" s="5"/>
      <c r="AO370" s="14"/>
      <c r="AP370" s="4"/>
    </row>
    <row r="371" spans="18:42">
      <c r="R371" s="9"/>
      <c r="AJ371" s="10"/>
      <c r="AK371" s="8"/>
      <c r="AM371" s="5"/>
      <c r="AN371" s="5"/>
      <c r="AO371" s="14"/>
      <c r="AP371" s="4"/>
    </row>
    <row r="372" spans="18:42">
      <c r="R372" s="9"/>
      <c r="AJ372" s="10"/>
      <c r="AK372" s="8"/>
      <c r="AM372" s="5"/>
      <c r="AN372" s="5"/>
      <c r="AO372" s="14"/>
      <c r="AP372" s="4"/>
    </row>
    <row r="373" spans="18:42">
      <c r="R373" s="9"/>
      <c r="AJ373" s="10"/>
      <c r="AK373" s="8"/>
      <c r="AM373" s="5"/>
      <c r="AN373" s="5"/>
      <c r="AO373" s="14"/>
      <c r="AP373" s="4"/>
    </row>
    <row r="374" spans="18:42">
      <c r="R374" s="9"/>
      <c r="AJ374" s="10"/>
      <c r="AK374" s="8"/>
      <c r="AM374" s="5"/>
      <c r="AN374" s="5"/>
      <c r="AO374" s="14"/>
      <c r="AP374" s="4"/>
    </row>
    <row r="375" spans="18:42">
      <c r="R375" s="9"/>
      <c r="AJ375" s="10"/>
      <c r="AK375" s="8"/>
      <c r="AM375" s="5"/>
      <c r="AN375" s="5"/>
      <c r="AO375" s="14"/>
      <c r="AP375" s="4"/>
    </row>
    <row r="376" spans="18:42">
      <c r="R376" s="9"/>
      <c r="AJ376" s="10"/>
      <c r="AK376" s="8"/>
      <c r="AM376" s="5"/>
      <c r="AN376" s="5"/>
      <c r="AO376" s="14"/>
      <c r="AP376" s="4"/>
    </row>
    <row r="377" spans="18:42">
      <c r="R377" s="9"/>
      <c r="AJ377" s="10"/>
      <c r="AK377" s="8"/>
      <c r="AM377" s="5"/>
      <c r="AN377" s="5"/>
      <c r="AO377" s="14"/>
      <c r="AP377" s="4"/>
    </row>
    <row r="378" spans="18:42">
      <c r="R378" s="9"/>
      <c r="AJ378" s="10"/>
      <c r="AK378" s="8"/>
      <c r="AM378" s="5"/>
      <c r="AN378" s="5"/>
      <c r="AO378" s="14"/>
      <c r="AP378" s="4"/>
    </row>
    <row r="379" spans="18:42">
      <c r="R379" s="9"/>
      <c r="AJ379" s="10"/>
      <c r="AK379" s="8"/>
      <c r="AM379" s="5"/>
      <c r="AN379" s="5"/>
      <c r="AO379" s="14"/>
      <c r="AP379" s="4"/>
    </row>
    <row r="380" spans="18:42">
      <c r="R380" s="9"/>
      <c r="AJ380" s="10"/>
      <c r="AK380" s="8"/>
      <c r="AM380" s="5"/>
      <c r="AN380" s="5"/>
      <c r="AO380" s="14"/>
      <c r="AP380" s="4"/>
    </row>
    <row r="381" spans="18:42">
      <c r="R381" s="9"/>
      <c r="AJ381" s="10"/>
      <c r="AK381" s="8"/>
      <c r="AM381" s="5"/>
      <c r="AN381" s="5"/>
      <c r="AO381" s="14"/>
      <c r="AP381" s="4"/>
    </row>
    <row r="382" spans="18:42">
      <c r="R382" s="9"/>
      <c r="AJ382" s="10"/>
      <c r="AK382" s="8"/>
      <c r="AM382" s="5"/>
      <c r="AN382" s="5"/>
      <c r="AO382" s="14"/>
      <c r="AP382" s="4"/>
    </row>
    <row r="383" spans="18:42">
      <c r="R383" s="9"/>
      <c r="AJ383" s="10"/>
      <c r="AK383" s="8"/>
      <c r="AM383" s="5"/>
      <c r="AN383" s="5"/>
      <c r="AO383" s="14"/>
      <c r="AP383" s="4"/>
    </row>
    <row r="384" spans="18:42">
      <c r="R384" s="9"/>
      <c r="AJ384" s="10"/>
      <c r="AK384" s="8"/>
      <c r="AM384" s="5"/>
      <c r="AN384" s="5"/>
      <c r="AO384" s="14"/>
      <c r="AP384" s="4"/>
    </row>
    <row r="385" spans="18:42">
      <c r="R385" s="9"/>
      <c r="AJ385" s="10"/>
      <c r="AK385" s="8"/>
      <c r="AM385" s="5"/>
      <c r="AN385" s="5"/>
      <c r="AO385" s="14"/>
      <c r="AP385" s="4"/>
    </row>
    <row r="386" spans="18:42">
      <c r="R386" s="9"/>
      <c r="AJ386" s="10"/>
      <c r="AK386" s="8"/>
      <c r="AM386" s="5"/>
      <c r="AN386" s="5"/>
      <c r="AO386" s="14"/>
      <c r="AP386" s="4"/>
    </row>
    <row r="387" spans="18:42">
      <c r="R387" s="9"/>
      <c r="AJ387" s="10"/>
      <c r="AK387" s="8"/>
      <c r="AM387" s="5"/>
      <c r="AN387" s="5"/>
      <c r="AO387" s="14"/>
      <c r="AP387" s="4"/>
    </row>
    <row r="388" spans="18:42">
      <c r="R388" s="9"/>
      <c r="AJ388" s="10"/>
      <c r="AK388" s="8"/>
      <c r="AM388" s="5"/>
      <c r="AN388" s="5"/>
      <c r="AO388" s="14"/>
      <c r="AP388" s="4"/>
    </row>
    <row r="389" spans="18:42">
      <c r="R389" s="9"/>
      <c r="AJ389" s="10"/>
      <c r="AK389" s="8"/>
      <c r="AM389" s="5"/>
      <c r="AN389" s="5"/>
      <c r="AO389" s="14"/>
      <c r="AP389" s="4"/>
    </row>
    <row r="390" spans="18:42">
      <c r="R390" s="9"/>
      <c r="AJ390" s="10"/>
      <c r="AK390" s="8"/>
      <c r="AM390" s="5"/>
      <c r="AN390" s="5"/>
      <c r="AO390" s="14"/>
      <c r="AP390" s="4"/>
    </row>
    <row r="391" spans="18:42">
      <c r="R391" s="9"/>
      <c r="AJ391" s="10"/>
      <c r="AK391" s="8"/>
      <c r="AM391" s="5"/>
      <c r="AN391" s="5"/>
      <c r="AO391" s="14"/>
      <c r="AP391" s="4"/>
    </row>
    <row r="392" spans="18:42">
      <c r="R392" s="9"/>
      <c r="AJ392" s="10"/>
      <c r="AK392" s="8"/>
      <c r="AM392" s="5"/>
      <c r="AN392" s="5"/>
      <c r="AO392" s="14"/>
      <c r="AP392" s="4"/>
    </row>
    <row r="393" spans="18:42">
      <c r="R393" s="9"/>
      <c r="AJ393" s="10"/>
      <c r="AK393" s="8"/>
      <c r="AM393" s="5"/>
      <c r="AN393" s="5"/>
      <c r="AO393" s="14"/>
      <c r="AP393" s="4"/>
    </row>
    <row r="394" spans="18:42">
      <c r="R394" s="9"/>
      <c r="AJ394" s="10"/>
      <c r="AK394" s="8"/>
      <c r="AM394" s="5"/>
      <c r="AN394" s="5"/>
      <c r="AO394" s="14"/>
      <c r="AP394" s="4"/>
    </row>
    <row r="395" spans="18:42">
      <c r="R395" s="9"/>
      <c r="AJ395" s="10"/>
      <c r="AK395" s="8"/>
      <c r="AM395" s="5"/>
      <c r="AN395" s="5"/>
      <c r="AO395" s="14"/>
      <c r="AP395" s="4"/>
    </row>
    <row r="396" spans="18:42">
      <c r="R396" s="9"/>
      <c r="AJ396" s="10"/>
      <c r="AK396" s="8"/>
      <c r="AM396" s="5"/>
      <c r="AN396" s="5"/>
      <c r="AO396" s="14"/>
      <c r="AP396" s="4"/>
    </row>
    <row r="397" spans="18:42">
      <c r="R397" s="9"/>
      <c r="AJ397" s="10"/>
      <c r="AK397" s="8"/>
      <c r="AM397" s="5"/>
      <c r="AN397" s="5"/>
      <c r="AO397" s="14"/>
      <c r="AP397" s="4"/>
    </row>
    <row r="398" spans="18:42">
      <c r="R398" s="9"/>
      <c r="AJ398" s="10"/>
      <c r="AK398" s="8"/>
      <c r="AM398" s="5"/>
      <c r="AN398" s="5"/>
      <c r="AO398" s="14"/>
      <c r="AP398" s="4"/>
    </row>
    <row r="399" spans="18:42">
      <c r="R399" s="9"/>
      <c r="AJ399" s="10"/>
      <c r="AK399" s="8"/>
      <c r="AM399" s="5"/>
      <c r="AN399" s="5"/>
      <c r="AO399" s="14"/>
      <c r="AP399" s="4"/>
    </row>
    <row r="400" spans="18:42">
      <c r="R400" s="9"/>
      <c r="AJ400" s="10"/>
      <c r="AK400" s="8"/>
      <c r="AM400" s="5"/>
      <c r="AN400" s="5"/>
      <c r="AO400" s="14"/>
      <c r="AP400" s="4"/>
    </row>
    <row r="401" spans="18:42">
      <c r="R401" s="9"/>
      <c r="AJ401" s="10"/>
      <c r="AK401" s="8"/>
      <c r="AM401" s="5"/>
      <c r="AN401" s="5"/>
      <c r="AO401" s="14"/>
      <c r="AP401" s="4"/>
    </row>
    <row r="402" spans="18:42">
      <c r="R402" s="9"/>
      <c r="AJ402" s="10"/>
      <c r="AK402" s="8"/>
      <c r="AM402" s="5"/>
      <c r="AN402" s="5"/>
      <c r="AO402" s="14"/>
      <c r="AP402" s="4"/>
    </row>
    <row r="403" spans="18:42">
      <c r="R403" s="9"/>
      <c r="AJ403" s="10"/>
      <c r="AK403" s="8"/>
      <c r="AM403" s="5"/>
      <c r="AN403" s="5"/>
      <c r="AO403" s="14"/>
      <c r="AP403" s="4"/>
    </row>
    <row r="404" spans="18:42">
      <c r="R404" s="9"/>
      <c r="AJ404" s="10"/>
      <c r="AK404" s="8"/>
      <c r="AM404" s="5"/>
      <c r="AN404" s="5"/>
      <c r="AO404" s="14"/>
      <c r="AP404" s="4"/>
    </row>
    <row r="405" spans="18:42">
      <c r="R405" s="9"/>
      <c r="AJ405" s="10"/>
      <c r="AK405" s="8"/>
      <c r="AM405" s="5"/>
      <c r="AN405" s="5"/>
      <c r="AO405" s="14"/>
      <c r="AP405" s="4"/>
    </row>
    <row r="406" spans="18:42">
      <c r="R406" s="9"/>
      <c r="AJ406" s="10"/>
      <c r="AK406" s="8"/>
      <c r="AM406" s="5"/>
      <c r="AN406" s="5"/>
      <c r="AO406" s="14"/>
      <c r="AP406" s="4"/>
    </row>
    <row r="407" spans="18:42">
      <c r="R407" s="9"/>
      <c r="AJ407" s="10"/>
      <c r="AK407" s="8"/>
      <c r="AM407" s="5"/>
      <c r="AN407" s="5"/>
      <c r="AO407" s="14"/>
      <c r="AP407" s="4"/>
    </row>
    <row r="408" spans="18:42">
      <c r="R408" s="9"/>
      <c r="AJ408" s="10"/>
      <c r="AK408" s="8"/>
      <c r="AM408" s="5"/>
      <c r="AN408" s="5"/>
      <c r="AO408" s="14"/>
      <c r="AP408" s="4"/>
    </row>
    <row r="409" spans="18:42">
      <c r="R409" s="9"/>
      <c r="AJ409" s="10"/>
      <c r="AK409" s="8"/>
      <c r="AM409" s="5"/>
      <c r="AN409" s="5"/>
      <c r="AO409" s="14"/>
      <c r="AP409" s="4"/>
    </row>
    <row r="410" spans="18:42">
      <c r="R410" s="9"/>
      <c r="AJ410" s="10"/>
      <c r="AK410" s="8"/>
      <c r="AM410" s="5"/>
      <c r="AN410" s="5"/>
      <c r="AO410" s="14"/>
      <c r="AP410" s="4"/>
    </row>
    <row r="411" spans="18:42">
      <c r="R411" s="9"/>
      <c r="AJ411" s="10"/>
      <c r="AK411" s="8"/>
      <c r="AM411" s="5"/>
      <c r="AN411" s="5"/>
      <c r="AO411" s="14"/>
      <c r="AP411" s="4"/>
    </row>
    <row r="412" spans="18:42">
      <c r="R412" s="9"/>
      <c r="AJ412" s="10"/>
      <c r="AK412" s="8"/>
      <c r="AM412" s="5"/>
      <c r="AN412" s="5"/>
      <c r="AO412" s="14"/>
      <c r="AP412" s="4"/>
    </row>
    <row r="413" spans="18:42">
      <c r="R413" s="9"/>
      <c r="AJ413" s="10"/>
      <c r="AK413" s="8"/>
      <c r="AM413" s="5"/>
      <c r="AN413" s="5"/>
      <c r="AO413" s="14"/>
      <c r="AP413" s="4"/>
    </row>
    <row r="414" spans="18:42">
      <c r="R414" s="9"/>
      <c r="AJ414" s="10"/>
      <c r="AK414" s="8"/>
      <c r="AM414" s="5"/>
      <c r="AN414" s="5"/>
      <c r="AO414" s="14"/>
      <c r="AP414" s="4"/>
    </row>
    <row r="415" spans="18:42">
      <c r="R415" s="9"/>
      <c r="AJ415" s="10"/>
      <c r="AK415" s="8"/>
      <c r="AM415" s="5"/>
      <c r="AN415" s="5"/>
      <c r="AO415" s="14"/>
      <c r="AP415" s="4"/>
    </row>
    <row r="416" spans="18:42">
      <c r="R416" s="9"/>
      <c r="AJ416" s="10"/>
      <c r="AK416" s="8"/>
      <c r="AM416" s="5"/>
      <c r="AN416" s="5"/>
      <c r="AO416" s="14"/>
      <c r="AP416" s="4"/>
    </row>
    <row r="417" spans="18:42">
      <c r="R417" s="9"/>
      <c r="AJ417" s="10"/>
      <c r="AK417" s="8"/>
      <c r="AM417" s="5"/>
      <c r="AN417" s="5"/>
      <c r="AO417" s="14"/>
      <c r="AP417" s="4"/>
    </row>
    <row r="418" spans="18:42">
      <c r="R418" s="9"/>
      <c r="AJ418" s="10"/>
      <c r="AK418" s="8"/>
      <c r="AM418" s="5"/>
      <c r="AN418" s="5"/>
      <c r="AO418" s="14"/>
      <c r="AP418" s="4"/>
    </row>
    <row r="419" spans="18:42">
      <c r="R419" s="9"/>
      <c r="AJ419" s="10"/>
      <c r="AK419" s="8"/>
      <c r="AM419" s="5"/>
      <c r="AN419" s="5"/>
      <c r="AO419" s="14"/>
      <c r="AP419" s="4"/>
    </row>
    <row r="420" spans="18:42">
      <c r="R420" s="9"/>
      <c r="AJ420" s="10"/>
      <c r="AK420" s="8"/>
      <c r="AM420" s="5"/>
      <c r="AN420" s="5"/>
      <c r="AO420" s="14"/>
      <c r="AP420" s="4"/>
    </row>
    <row r="421" spans="18:42">
      <c r="R421" s="9"/>
      <c r="AJ421" s="10"/>
      <c r="AK421" s="8"/>
      <c r="AM421" s="5"/>
      <c r="AN421" s="5"/>
      <c r="AO421" s="14"/>
      <c r="AP421" s="4"/>
    </row>
    <row r="422" spans="18:42">
      <c r="R422" s="9"/>
      <c r="AJ422" s="10"/>
      <c r="AK422" s="8"/>
      <c r="AM422" s="5"/>
      <c r="AN422" s="5"/>
      <c r="AO422" s="14"/>
      <c r="AP422" s="4"/>
    </row>
    <row r="423" spans="18:42">
      <c r="R423" s="9"/>
      <c r="AJ423" s="10"/>
      <c r="AK423" s="8"/>
      <c r="AM423" s="5"/>
      <c r="AN423" s="5"/>
      <c r="AO423" s="14"/>
      <c r="AP423" s="4"/>
    </row>
    <row r="424" spans="18:42">
      <c r="R424" s="9"/>
      <c r="AJ424" s="10"/>
      <c r="AK424" s="8"/>
      <c r="AM424" s="5"/>
      <c r="AN424" s="5"/>
      <c r="AO424" s="14"/>
      <c r="AP424" s="4"/>
    </row>
    <row r="425" spans="18:42">
      <c r="R425" s="9"/>
      <c r="AJ425" s="10"/>
      <c r="AK425" s="8"/>
      <c r="AM425" s="5"/>
      <c r="AN425" s="5"/>
      <c r="AO425" s="14"/>
      <c r="AP425" s="4"/>
    </row>
    <row r="426" spans="18:42">
      <c r="R426" s="9"/>
      <c r="AJ426" s="10"/>
      <c r="AK426" s="8"/>
      <c r="AM426" s="5"/>
      <c r="AN426" s="5"/>
      <c r="AO426" s="14"/>
      <c r="AP426" s="4"/>
    </row>
    <row r="427" spans="18:42">
      <c r="R427" s="9"/>
      <c r="AJ427" s="10"/>
      <c r="AK427" s="8"/>
      <c r="AM427" s="5"/>
      <c r="AN427" s="5"/>
      <c r="AO427" s="14"/>
      <c r="AP427" s="4"/>
    </row>
    <row r="428" spans="18:42">
      <c r="R428" s="9"/>
      <c r="AJ428" s="10"/>
      <c r="AK428" s="8"/>
      <c r="AM428" s="5"/>
      <c r="AN428" s="5"/>
      <c r="AO428" s="14"/>
      <c r="AP428" s="4"/>
    </row>
    <row r="429" spans="18:42">
      <c r="R429" s="9"/>
      <c r="AJ429" s="10"/>
      <c r="AK429" s="8"/>
      <c r="AM429" s="5"/>
      <c r="AN429" s="5"/>
      <c r="AO429" s="14"/>
      <c r="AP429" s="4"/>
    </row>
    <row r="430" spans="18:42">
      <c r="R430" s="9"/>
      <c r="AJ430" s="10"/>
      <c r="AK430" s="8"/>
      <c r="AM430" s="5"/>
      <c r="AN430" s="5"/>
      <c r="AO430" s="14"/>
      <c r="AP430" s="4"/>
    </row>
    <row r="431" spans="18:42">
      <c r="R431" s="9"/>
      <c r="AJ431" s="10"/>
      <c r="AK431" s="8"/>
      <c r="AM431" s="5"/>
      <c r="AN431" s="5"/>
      <c r="AO431" s="14"/>
      <c r="AP431" s="4"/>
    </row>
    <row r="432" spans="18:42">
      <c r="R432" s="9"/>
      <c r="AJ432" s="10"/>
      <c r="AK432" s="8"/>
      <c r="AM432" s="5"/>
      <c r="AN432" s="5"/>
      <c r="AO432" s="14"/>
      <c r="AP432" s="4"/>
    </row>
    <row r="433" spans="18:42">
      <c r="R433" s="9"/>
      <c r="AJ433" s="10"/>
      <c r="AK433" s="8"/>
      <c r="AM433" s="5"/>
      <c r="AN433" s="5"/>
      <c r="AO433" s="14"/>
      <c r="AP433" s="4"/>
    </row>
    <row r="434" spans="18:42">
      <c r="R434" s="9"/>
      <c r="AJ434" s="10"/>
      <c r="AK434" s="8"/>
      <c r="AM434" s="5"/>
      <c r="AN434" s="5"/>
      <c r="AO434" s="14"/>
      <c r="AP434" s="4"/>
    </row>
    <row r="435" spans="18:42">
      <c r="R435" s="9"/>
      <c r="AJ435" s="10"/>
      <c r="AK435" s="8"/>
      <c r="AM435" s="5"/>
      <c r="AN435" s="5"/>
      <c r="AO435" s="14"/>
      <c r="AP435" s="4"/>
    </row>
    <row r="436" spans="18:42">
      <c r="R436" s="9"/>
      <c r="AJ436" s="10"/>
      <c r="AK436" s="8"/>
      <c r="AM436" s="5"/>
      <c r="AN436" s="5"/>
      <c r="AO436" s="14"/>
      <c r="AP436" s="4"/>
    </row>
    <row r="437" spans="18:42">
      <c r="R437" s="9"/>
      <c r="AJ437" s="10"/>
      <c r="AK437" s="8"/>
      <c r="AM437" s="5"/>
      <c r="AN437" s="5"/>
      <c r="AO437" s="14"/>
      <c r="AP437" s="4"/>
    </row>
    <row r="438" spans="18:42">
      <c r="R438" s="9"/>
      <c r="AJ438" s="10"/>
      <c r="AK438" s="8"/>
      <c r="AM438" s="5"/>
      <c r="AN438" s="5"/>
      <c r="AO438" s="14"/>
      <c r="AP438" s="4"/>
    </row>
    <row r="439" spans="18:42">
      <c r="R439" s="9"/>
      <c r="AJ439" s="10"/>
      <c r="AK439" s="8"/>
      <c r="AM439" s="5"/>
      <c r="AN439" s="5"/>
      <c r="AO439" s="14"/>
      <c r="AP439" s="4"/>
    </row>
    <row r="440" spans="18:42">
      <c r="R440" s="9"/>
      <c r="AJ440" s="10"/>
      <c r="AK440" s="8"/>
      <c r="AM440" s="5"/>
      <c r="AN440" s="5"/>
      <c r="AO440" s="14"/>
      <c r="AP440" s="4"/>
    </row>
    <row r="441" spans="18:42">
      <c r="R441" s="9"/>
      <c r="AJ441" s="10"/>
      <c r="AK441" s="8"/>
      <c r="AM441" s="5"/>
      <c r="AN441" s="5"/>
      <c r="AO441" s="14"/>
      <c r="AP441" s="4"/>
    </row>
    <row r="442" spans="18:42">
      <c r="R442" s="9"/>
      <c r="AJ442" s="10"/>
      <c r="AK442" s="8"/>
      <c r="AM442" s="5"/>
      <c r="AN442" s="5"/>
      <c r="AO442" s="14"/>
      <c r="AP442" s="4"/>
    </row>
    <row r="443" spans="18:42">
      <c r="R443" s="9"/>
      <c r="AJ443" s="10"/>
      <c r="AK443" s="8"/>
      <c r="AM443" s="5"/>
      <c r="AN443" s="5"/>
      <c r="AO443" s="14"/>
      <c r="AP443" s="4"/>
    </row>
    <row r="444" spans="18:42">
      <c r="R444" s="9"/>
      <c r="AJ444" s="10"/>
      <c r="AK444" s="8"/>
      <c r="AM444" s="5"/>
      <c r="AN444" s="5"/>
      <c r="AO444" s="14"/>
      <c r="AP444" s="4"/>
    </row>
    <row r="445" spans="18:42">
      <c r="R445" s="9"/>
      <c r="AJ445" s="10"/>
      <c r="AK445" s="8"/>
      <c r="AM445" s="5"/>
      <c r="AN445" s="5"/>
      <c r="AO445" s="14"/>
      <c r="AP445" s="4"/>
    </row>
    <row r="446" spans="18:42">
      <c r="R446" s="9"/>
      <c r="AJ446" s="10"/>
      <c r="AK446" s="8"/>
      <c r="AM446" s="5"/>
      <c r="AN446" s="5"/>
      <c r="AO446" s="14"/>
      <c r="AP446" s="4"/>
    </row>
    <row r="447" spans="18:42">
      <c r="R447" s="9"/>
      <c r="AJ447" s="10"/>
      <c r="AK447" s="8"/>
      <c r="AM447" s="5"/>
      <c r="AN447" s="5"/>
      <c r="AO447" s="14"/>
      <c r="AP447" s="4"/>
    </row>
    <row r="448" spans="18:42">
      <c r="R448" s="9"/>
      <c r="AJ448" s="10"/>
      <c r="AK448" s="8"/>
      <c r="AM448" s="5"/>
      <c r="AN448" s="5"/>
      <c r="AO448" s="14"/>
      <c r="AP448" s="4"/>
    </row>
    <row r="449" spans="18:42">
      <c r="R449" s="9"/>
      <c r="AJ449" s="10"/>
      <c r="AK449" s="8"/>
      <c r="AM449" s="5"/>
      <c r="AN449" s="5"/>
      <c r="AO449" s="14"/>
      <c r="AP449" s="4"/>
    </row>
    <row r="450" spans="18:42">
      <c r="R450" s="9"/>
      <c r="AJ450" s="10"/>
      <c r="AK450" s="8"/>
      <c r="AM450" s="5"/>
      <c r="AN450" s="5"/>
      <c r="AO450" s="14"/>
      <c r="AP450" s="4"/>
    </row>
    <row r="451" spans="18:42">
      <c r="R451" s="9"/>
      <c r="AJ451" s="10"/>
      <c r="AK451" s="8"/>
      <c r="AM451" s="5"/>
      <c r="AN451" s="5"/>
      <c r="AO451" s="14"/>
      <c r="AP451" s="4"/>
    </row>
    <row r="452" spans="18:42">
      <c r="R452" s="9"/>
      <c r="AJ452" s="10"/>
      <c r="AK452" s="8"/>
      <c r="AM452" s="5"/>
      <c r="AN452" s="5"/>
      <c r="AO452" s="14"/>
      <c r="AP452" s="4"/>
    </row>
    <row r="453" spans="18:42">
      <c r="R453" s="9"/>
      <c r="AJ453" s="10"/>
      <c r="AK453" s="8"/>
      <c r="AM453" s="5"/>
      <c r="AN453" s="5"/>
      <c r="AO453" s="14"/>
      <c r="AP453" s="4"/>
    </row>
    <row r="454" spans="18:42">
      <c r="R454" s="9"/>
      <c r="AJ454" s="10"/>
      <c r="AK454" s="8"/>
      <c r="AM454" s="5"/>
      <c r="AN454" s="5"/>
      <c r="AO454" s="14"/>
      <c r="AP454" s="4"/>
    </row>
    <row r="455" spans="18:42">
      <c r="R455" s="9"/>
      <c r="AJ455" s="10"/>
      <c r="AK455" s="8"/>
      <c r="AM455" s="5"/>
      <c r="AN455" s="5"/>
      <c r="AO455" s="14"/>
      <c r="AP455" s="4"/>
    </row>
    <row r="456" spans="18:42">
      <c r="R456" s="9"/>
      <c r="AJ456" s="10"/>
      <c r="AK456" s="8"/>
      <c r="AM456" s="5"/>
      <c r="AN456" s="5"/>
      <c r="AO456" s="14"/>
      <c r="AP456" s="4"/>
    </row>
    <row r="457" spans="18:42">
      <c r="R457" s="9"/>
      <c r="AJ457" s="10"/>
      <c r="AK457" s="8"/>
      <c r="AM457" s="5"/>
      <c r="AN457" s="5"/>
      <c r="AO457" s="14"/>
      <c r="AP457" s="4"/>
    </row>
    <row r="458" spans="18:42">
      <c r="R458" s="9"/>
      <c r="AJ458" s="10"/>
      <c r="AK458" s="8"/>
      <c r="AM458" s="5"/>
      <c r="AN458" s="5"/>
      <c r="AO458" s="14"/>
      <c r="AP458" s="4"/>
    </row>
    <row r="459" spans="18:42">
      <c r="R459" s="9"/>
      <c r="AJ459" s="10"/>
      <c r="AK459" s="8"/>
      <c r="AM459" s="5"/>
      <c r="AN459" s="5"/>
      <c r="AO459" s="14"/>
      <c r="AP459" s="4"/>
    </row>
    <row r="460" spans="18:42">
      <c r="R460" s="9"/>
      <c r="AJ460" s="10"/>
      <c r="AK460" s="8"/>
      <c r="AM460" s="5"/>
      <c r="AN460" s="5"/>
      <c r="AO460" s="14"/>
      <c r="AP460" s="4"/>
    </row>
    <row r="461" spans="18:42">
      <c r="R461" s="9"/>
      <c r="AJ461" s="10"/>
      <c r="AK461" s="8"/>
      <c r="AM461" s="5"/>
      <c r="AN461" s="5"/>
      <c r="AO461" s="14"/>
      <c r="AP461" s="4"/>
    </row>
    <row r="462" spans="18:42">
      <c r="R462" s="9"/>
      <c r="AJ462" s="10"/>
      <c r="AK462" s="8"/>
      <c r="AM462" s="5"/>
      <c r="AN462" s="5"/>
      <c r="AO462" s="14"/>
      <c r="AP462" s="4"/>
    </row>
    <row r="463" spans="18:42">
      <c r="R463" s="9"/>
      <c r="AJ463" s="10"/>
      <c r="AK463" s="8"/>
      <c r="AM463" s="5"/>
      <c r="AN463" s="5"/>
      <c r="AO463" s="14"/>
      <c r="AP463" s="4"/>
    </row>
    <row r="464" spans="18:42">
      <c r="R464" s="9"/>
      <c r="AJ464" s="10"/>
      <c r="AK464" s="8"/>
      <c r="AM464" s="5"/>
      <c r="AN464" s="5"/>
      <c r="AO464" s="14"/>
      <c r="AP464" s="4"/>
    </row>
    <row r="465" spans="18:42">
      <c r="R465" s="9"/>
      <c r="AJ465" s="10"/>
      <c r="AK465" s="8"/>
      <c r="AM465" s="5"/>
      <c r="AN465" s="5"/>
      <c r="AO465" s="14"/>
      <c r="AP465" s="4"/>
    </row>
    <row r="466" spans="18:42">
      <c r="R466" s="9"/>
      <c r="AJ466" s="10"/>
      <c r="AK466" s="8"/>
      <c r="AM466" s="5"/>
      <c r="AN466" s="5"/>
      <c r="AO466" s="14"/>
      <c r="AP466" s="4"/>
    </row>
    <row r="467" spans="18:42">
      <c r="R467" s="9"/>
      <c r="AJ467" s="10"/>
      <c r="AK467" s="8"/>
      <c r="AM467" s="5"/>
      <c r="AN467" s="5"/>
      <c r="AO467" s="14"/>
      <c r="AP467" s="4"/>
    </row>
    <row r="468" spans="18:42">
      <c r="R468" s="9"/>
      <c r="AJ468" s="10"/>
      <c r="AK468" s="8"/>
      <c r="AM468" s="5"/>
      <c r="AN468" s="5"/>
      <c r="AO468" s="14"/>
      <c r="AP468" s="4"/>
    </row>
    <row r="469" spans="18:42">
      <c r="R469" s="9"/>
      <c r="AJ469" s="10"/>
      <c r="AK469" s="8"/>
      <c r="AM469" s="5"/>
      <c r="AN469" s="5"/>
      <c r="AO469" s="14"/>
      <c r="AP469" s="4"/>
    </row>
    <row r="470" spans="18:42">
      <c r="R470" s="9"/>
      <c r="AJ470" s="10"/>
      <c r="AK470" s="8"/>
      <c r="AM470" s="5"/>
      <c r="AN470" s="5"/>
      <c r="AO470" s="14"/>
      <c r="AP470" s="4"/>
    </row>
    <row r="471" spans="18:42">
      <c r="R471" s="9"/>
      <c r="AJ471" s="10"/>
      <c r="AK471" s="8"/>
      <c r="AM471" s="5"/>
      <c r="AN471" s="5"/>
      <c r="AO471" s="14"/>
      <c r="AP471" s="4"/>
    </row>
    <row r="472" spans="18:42">
      <c r="R472" s="9"/>
      <c r="AJ472" s="10"/>
      <c r="AK472" s="8"/>
      <c r="AM472" s="5"/>
      <c r="AN472" s="5"/>
      <c r="AO472" s="14"/>
      <c r="AP472" s="4"/>
    </row>
    <row r="473" spans="18:42">
      <c r="R473" s="9"/>
      <c r="AJ473" s="10"/>
      <c r="AK473" s="8"/>
      <c r="AM473" s="5"/>
      <c r="AN473" s="5"/>
      <c r="AO473" s="14"/>
      <c r="AP473" s="4"/>
    </row>
    <row r="474" spans="18:42">
      <c r="R474" s="9"/>
      <c r="AJ474" s="10"/>
      <c r="AK474" s="8"/>
      <c r="AM474" s="5"/>
      <c r="AN474" s="5"/>
      <c r="AO474" s="14"/>
      <c r="AP474" s="4"/>
    </row>
    <row r="475" spans="18:42">
      <c r="R475" s="9"/>
      <c r="AJ475" s="10"/>
      <c r="AK475" s="8"/>
      <c r="AM475" s="5"/>
      <c r="AN475" s="5"/>
      <c r="AO475" s="14"/>
      <c r="AP475" s="4"/>
    </row>
    <row r="476" spans="18:42">
      <c r="R476" s="9"/>
      <c r="AJ476" s="10"/>
      <c r="AK476" s="8"/>
      <c r="AM476" s="5"/>
      <c r="AN476" s="5"/>
      <c r="AO476" s="14"/>
      <c r="AP476" s="4"/>
    </row>
    <row r="477" spans="18:42">
      <c r="R477" s="9"/>
      <c r="AJ477" s="10"/>
      <c r="AK477" s="8"/>
      <c r="AM477" s="5"/>
      <c r="AN477" s="5"/>
      <c r="AO477" s="14"/>
      <c r="AP477" s="4"/>
    </row>
    <row r="478" spans="18:42">
      <c r="R478" s="9"/>
      <c r="AJ478" s="10"/>
      <c r="AK478" s="8"/>
      <c r="AM478" s="5"/>
      <c r="AN478" s="5"/>
      <c r="AO478" s="14"/>
      <c r="AP478" s="4"/>
    </row>
    <row r="479" spans="18:42">
      <c r="R479" s="9"/>
      <c r="AJ479" s="10"/>
      <c r="AK479" s="8"/>
      <c r="AM479" s="5"/>
      <c r="AN479" s="5"/>
      <c r="AO479" s="14"/>
      <c r="AP479" s="4"/>
    </row>
    <row r="480" spans="18:42">
      <c r="R480" s="9"/>
      <c r="AJ480" s="10"/>
      <c r="AK480" s="8"/>
      <c r="AM480" s="5"/>
      <c r="AN480" s="5"/>
      <c r="AO480" s="14"/>
      <c r="AP480" s="4"/>
    </row>
    <row r="481" spans="18:42">
      <c r="R481" s="9"/>
      <c r="AJ481" s="10"/>
      <c r="AK481" s="8"/>
      <c r="AM481" s="5"/>
      <c r="AN481" s="5"/>
      <c r="AO481" s="14"/>
      <c r="AP481" s="4"/>
    </row>
    <row r="482" spans="18:42">
      <c r="R482" s="9"/>
      <c r="AJ482" s="10"/>
      <c r="AK482" s="8"/>
      <c r="AM482" s="5"/>
      <c r="AN482" s="5"/>
      <c r="AO482" s="14"/>
      <c r="AP482" s="4"/>
    </row>
    <row r="483" spans="18:42">
      <c r="R483" s="9"/>
      <c r="AJ483" s="10"/>
      <c r="AK483" s="8"/>
      <c r="AM483" s="5"/>
      <c r="AN483" s="5"/>
      <c r="AO483" s="14"/>
      <c r="AP483" s="4"/>
    </row>
    <row r="484" spans="18:42">
      <c r="R484" s="9"/>
      <c r="AJ484" s="10"/>
      <c r="AK484" s="8"/>
      <c r="AM484" s="5"/>
      <c r="AN484" s="5"/>
      <c r="AO484" s="14"/>
      <c r="AP484" s="4"/>
    </row>
    <row r="485" spans="18:42">
      <c r="R485" s="9"/>
      <c r="AJ485" s="10"/>
      <c r="AK485" s="8"/>
      <c r="AM485" s="5"/>
      <c r="AN485" s="5"/>
      <c r="AO485" s="14"/>
      <c r="AP485" s="4"/>
    </row>
    <row r="486" spans="18:42">
      <c r="R486" s="9"/>
      <c r="AJ486" s="10"/>
      <c r="AK486" s="8"/>
      <c r="AM486" s="5"/>
      <c r="AN486" s="5"/>
      <c r="AO486" s="14"/>
      <c r="AP486" s="4"/>
    </row>
    <row r="487" spans="18:42">
      <c r="R487" s="9"/>
      <c r="AJ487" s="10"/>
      <c r="AK487" s="8"/>
      <c r="AM487" s="5"/>
      <c r="AN487" s="5"/>
      <c r="AO487" s="14"/>
      <c r="AP487" s="4"/>
    </row>
    <row r="488" spans="18:42">
      <c r="R488" s="9"/>
      <c r="AJ488" s="10"/>
      <c r="AK488" s="8"/>
      <c r="AM488" s="5"/>
      <c r="AN488" s="5"/>
      <c r="AO488" s="14"/>
      <c r="AP488" s="4"/>
    </row>
    <row r="489" spans="18:42">
      <c r="R489" s="9"/>
      <c r="AJ489" s="10"/>
      <c r="AK489" s="8"/>
      <c r="AM489" s="5"/>
      <c r="AN489" s="5"/>
      <c r="AO489" s="14"/>
      <c r="AP489" s="4"/>
    </row>
    <row r="490" spans="18:42">
      <c r="R490" s="9"/>
      <c r="AJ490" s="10"/>
      <c r="AK490" s="8"/>
      <c r="AM490" s="5"/>
      <c r="AN490" s="5"/>
      <c r="AO490" s="14"/>
      <c r="AP490" s="4"/>
    </row>
    <row r="491" spans="18:42">
      <c r="R491" s="9"/>
      <c r="AJ491" s="10"/>
      <c r="AK491" s="8"/>
      <c r="AM491" s="5"/>
      <c r="AN491" s="5"/>
      <c r="AO491" s="14"/>
      <c r="AP491" s="4"/>
    </row>
    <row r="492" spans="18:42">
      <c r="R492" s="9"/>
      <c r="AJ492" s="10"/>
      <c r="AK492" s="8"/>
      <c r="AM492" s="5"/>
      <c r="AN492" s="5"/>
      <c r="AO492" s="14"/>
      <c r="AP492" s="4"/>
    </row>
    <row r="493" spans="18:42">
      <c r="R493" s="9"/>
      <c r="AJ493" s="10"/>
      <c r="AK493" s="8"/>
      <c r="AM493" s="5"/>
      <c r="AN493" s="5"/>
      <c r="AO493" s="14"/>
      <c r="AP493" s="4"/>
    </row>
    <row r="494" spans="18:42">
      <c r="R494" s="9"/>
      <c r="AJ494" s="10"/>
      <c r="AK494" s="8"/>
      <c r="AM494" s="5"/>
      <c r="AN494" s="5"/>
      <c r="AO494" s="14"/>
      <c r="AP494" s="4"/>
    </row>
    <row r="495" spans="18:42">
      <c r="R495" s="9"/>
      <c r="AJ495" s="10"/>
      <c r="AK495" s="8"/>
      <c r="AM495" s="5"/>
      <c r="AN495" s="5"/>
      <c r="AO495" s="14"/>
      <c r="AP495" s="4"/>
    </row>
    <row r="496" spans="18:42">
      <c r="R496" s="9"/>
      <c r="AJ496" s="10"/>
      <c r="AK496" s="8"/>
      <c r="AM496" s="5"/>
      <c r="AN496" s="5"/>
      <c r="AO496" s="14"/>
      <c r="AP496" s="4"/>
    </row>
    <row r="497" spans="18:42">
      <c r="R497" s="9"/>
      <c r="AJ497" s="10"/>
      <c r="AK497" s="8"/>
      <c r="AM497" s="5"/>
      <c r="AN497" s="5"/>
      <c r="AO497" s="14"/>
      <c r="AP497" s="4"/>
    </row>
    <row r="498" spans="18:42">
      <c r="R498" s="9"/>
      <c r="AJ498" s="10"/>
      <c r="AK498" s="8"/>
      <c r="AM498" s="5"/>
      <c r="AN498" s="5"/>
      <c r="AO498" s="14"/>
      <c r="AP498" s="4"/>
    </row>
    <row r="499" spans="18:42">
      <c r="R499" s="9"/>
      <c r="AJ499" s="10"/>
      <c r="AK499" s="8"/>
      <c r="AM499" s="5"/>
      <c r="AN499" s="5"/>
      <c r="AO499" s="14"/>
      <c r="AP499" s="4"/>
    </row>
    <row r="500" spans="18:42">
      <c r="R500" s="9"/>
      <c r="AJ500" s="10"/>
      <c r="AK500" s="8"/>
      <c r="AM500" s="5"/>
      <c r="AN500" s="5"/>
      <c r="AO500" s="14"/>
      <c r="AP500" s="4"/>
    </row>
    <row r="501" spans="18:42">
      <c r="R501" s="9"/>
      <c r="AJ501" s="10"/>
      <c r="AK501" s="8"/>
      <c r="AM501" s="5"/>
      <c r="AN501" s="5"/>
      <c r="AO501" s="14"/>
      <c r="AP501" s="4"/>
    </row>
    <row r="502" spans="18:42">
      <c r="R502" s="9"/>
      <c r="AJ502" s="10"/>
      <c r="AK502" s="8"/>
      <c r="AM502" s="5"/>
      <c r="AN502" s="5"/>
      <c r="AO502" s="14"/>
      <c r="AP502" s="4"/>
    </row>
    <row r="503" spans="18:42">
      <c r="R503" s="9"/>
      <c r="AJ503" s="10"/>
      <c r="AK503" s="8"/>
      <c r="AM503" s="5"/>
      <c r="AN503" s="5"/>
      <c r="AO503" s="14"/>
      <c r="AP503" s="4"/>
    </row>
    <row r="504" spans="18:42">
      <c r="R504" s="9"/>
      <c r="AJ504" s="10"/>
      <c r="AK504" s="8"/>
      <c r="AM504" s="5"/>
      <c r="AN504" s="5"/>
      <c r="AO504" s="14"/>
      <c r="AP504" s="4"/>
    </row>
    <row r="505" spans="18:42">
      <c r="R505" s="9"/>
      <c r="AJ505" s="10"/>
      <c r="AK505" s="8"/>
      <c r="AM505" s="5"/>
      <c r="AN505" s="5"/>
      <c r="AO505" s="14"/>
      <c r="AP505" s="4"/>
    </row>
    <row r="506" spans="18:42">
      <c r="R506" s="9"/>
      <c r="AJ506" s="10"/>
      <c r="AK506" s="8"/>
      <c r="AM506" s="5"/>
      <c r="AN506" s="5"/>
      <c r="AO506" s="14"/>
      <c r="AP506" s="4"/>
    </row>
    <row r="507" spans="18:42">
      <c r="R507" s="9"/>
      <c r="AJ507" s="10"/>
      <c r="AK507" s="8"/>
      <c r="AM507" s="5"/>
      <c r="AN507" s="5"/>
      <c r="AO507" s="14"/>
      <c r="AP507" s="4"/>
    </row>
    <row r="508" spans="18:42">
      <c r="R508" s="9"/>
      <c r="AJ508" s="10"/>
      <c r="AK508" s="8"/>
      <c r="AM508" s="5"/>
      <c r="AN508" s="5"/>
      <c r="AO508" s="14"/>
      <c r="AP508" s="4"/>
    </row>
    <row r="509" spans="18:42">
      <c r="R509" s="9"/>
      <c r="AJ509" s="10"/>
      <c r="AK509" s="8"/>
      <c r="AM509" s="5"/>
      <c r="AN509" s="5"/>
      <c r="AO509" s="14"/>
      <c r="AP509" s="4"/>
    </row>
    <row r="510" spans="18:42">
      <c r="R510" s="9"/>
      <c r="AJ510" s="10"/>
      <c r="AK510" s="8"/>
      <c r="AM510" s="5"/>
      <c r="AN510" s="5"/>
      <c r="AO510" s="14"/>
      <c r="AP510" s="4"/>
    </row>
    <row r="511" spans="18:42">
      <c r="R511" s="9"/>
      <c r="AJ511" s="10"/>
      <c r="AK511" s="8"/>
      <c r="AM511" s="5"/>
      <c r="AN511" s="5"/>
      <c r="AO511" s="14"/>
      <c r="AP511" s="4"/>
    </row>
    <row r="512" spans="18:42">
      <c r="R512" s="9"/>
      <c r="AJ512" s="10"/>
      <c r="AK512" s="8"/>
      <c r="AM512" s="5"/>
      <c r="AN512" s="5"/>
      <c r="AO512" s="14"/>
      <c r="AP512" s="4"/>
    </row>
    <row r="513" spans="18:42">
      <c r="R513" s="9"/>
      <c r="AJ513" s="10"/>
      <c r="AK513" s="8"/>
      <c r="AM513" s="5"/>
      <c r="AN513" s="5"/>
      <c r="AO513" s="14"/>
      <c r="AP513" s="4"/>
    </row>
    <row r="514" spans="18:42">
      <c r="R514" s="9"/>
      <c r="AJ514" s="10"/>
      <c r="AK514" s="8"/>
      <c r="AM514" s="5"/>
      <c r="AN514" s="5"/>
      <c r="AO514" s="14"/>
      <c r="AP514" s="4"/>
    </row>
    <row r="515" spans="18:42">
      <c r="R515" s="9"/>
      <c r="AJ515" s="10"/>
      <c r="AK515" s="8"/>
      <c r="AM515" s="5"/>
      <c r="AN515" s="5"/>
      <c r="AO515" s="14"/>
      <c r="AP515" s="4"/>
    </row>
    <row r="516" spans="18:42">
      <c r="R516" s="9"/>
      <c r="AJ516" s="10"/>
      <c r="AK516" s="8"/>
      <c r="AM516" s="5"/>
      <c r="AN516" s="5"/>
      <c r="AO516" s="14"/>
      <c r="AP516" s="4"/>
    </row>
    <row r="517" spans="18:42">
      <c r="R517" s="9"/>
      <c r="AJ517" s="10"/>
      <c r="AK517" s="8"/>
      <c r="AM517" s="5"/>
      <c r="AN517" s="5"/>
      <c r="AO517" s="14"/>
      <c r="AP517" s="4"/>
    </row>
    <row r="518" spans="18:42">
      <c r="R518" s="9"/>
      <c r="AJ518" s="10"/>
      <c r="AK518" s="8"/>
      <c r="AM518" s="5"/>
      <c r="AN518" s="5"/>
      <c r="AO518" s="14"/>
      <c r="AP518" s="4"/>
    </row>
    <row r="519" spans="18:42">
      <c r="R519" s="9"/>
      <c r="AJ519" s="10"/>
      <c r="AK519" s="8"/>
      <c r="AM519" s="5"/>
      <c r="AN519" s="5"/>
      <c r="AO519" s="14"/>
      <c r="AP519" s="4"/>
    </row>
    <row r="520" spans="18:42">
      <c r="R520" s="9"/>
      <c r="AJ520" s="10"/>
      <c r="AK520" s="8"/>
      <c r="AM520" s="5"/>
      <c r="AN520" s="5"/>
      <c r="AO520" s="14"/>
      <c r="AP520" s="4"/>
    </row>
    <row r="521" spans="18:42">
      <c r="R521" s="9"/>
      <c r="AJ521" s="10"/>
      <c r="AK521" s="8"/>
      <c r="AM521" s="5"/>
      <c r="AN521" s="5"/>
      <c r="AO521" s="14"/>
      <c r="AP521" s="4"/>
    </row>
    <row r="522" spans="18:42">
      <c r="R522" s="9"/>
      <c r="AJ522" s="10"/>
      <c r="AK522" s="8"/>
      <c r="AM522" s="5"/>
      <c r="AN522" s="5"/>
      <c r="AO522" s="14"/>
      <c r="AP522" s="4"/>
    </row>
    <row r="523" spans="18:42">
      <c r="R523" s="9"/>
      <c r="AJ523" s="10"/>
      <c r="AK523" s="8"/>
      <c r="AM523" s="5"/>
      <c r="AN523" s="5"/>
      <c r="AO523" s="14"/>
      <c r="AP523" s="4"/>
    </row>
    <row r="524" spans="18:42">
      <c r="R524" s="9"/>
      <c r="AJ524" s="10"/>
      <c r="AK524" s="8"/>
      <c r="AM524" s="5"/>
      <c r="AN524" s="5"/>
      <c r="AO524" s="14"/>
      <c r="AP524" s="4"/>
    </row>
    <row r="525" spans="18:42">
      <c r="R525" s="9"/>
      <c r="AJ525" s="10"/>
      <c r="AK525" s="8"/>
      <c r="AM525" s="5"/>
      <c r="AN525" s="5"/>
      <c r="AO525" s="14"/>
      <c r="AP525" s="4"/>
    </row>
    <row r="526" spans="18:42">
      <c r="R526" s="9"/>
      <c r="AJ526" s="10"/>
      <c r="AK526" s="8"/>
      <c r="AM526" s="5"/>
      <c r="AN526" s="5"/>
      <c r="AO526" s="14"/>
      <c r="AP526" s="4"/>
    </row>
    <row r="527" spans="18:42">
      <c r="R527" s="9"/>
      <c r="AJ527" s="10"/>
      <c r="AK527" s="8"/>
      <c r="AM527" s="5"/>
      <c r="AN527" s="5"/>
      <c r="AO527" s="14"/>
      <c r="AP527" s="4"/>
    </row>
    <row r="528" spans="18:42">
      <c r="R528" s="9"/>
      <c r="AJ528" s="10"/>
      <c r="AK528" s="8"/>
      <c r="AM528" s="5"/>
      <c r="AN528" s="5"/>
      <c r="AO528" s="14"/>
      <c r="AP528" s="4"/>
    </row>
    <row r="529" spans="18:42">
      <c r="R529" s="9"/>
      <c r="AJ529" s="10"/>
      <c r="AK529" s="8"/>
      <c r="AM529" s="5"/>
      <c r="AN529" s="5"/>
      <c r="AO529" s="14"/>
      <c r="AP529" s="4"/>
    </row>
    <row r="530" spans="18:42">
      <c r="R530" s="9"/>
      <c r="AJ530" s="10"/>
      <c r="AK530" s="8"/>
      <c r="AM530" s="5"/>
      <c r="AN530" s="5"/>
      <c r="AO530" s="14"/>
      <c r="AP530" s="4"/>
    </row>
    <row r="531" spans="18:42">
      <c r="R531" s="9"/>
      <c r="AJ531" s="10"/>
      <c r="AK531" s="8"/>
      <c r="AM531" s="5"/>
      <c r="AN531" s="5"/>
      <c r="AO531" s="14"/>
      <c r="AP531" s="4"/>
    </row>
    <row r="532" spans="18:42">
      <c r="R532" s="9"/>
      <c r="AJ532" s="10"/>
      <c r="AK532" s="8"/>
      <c r="AM532" s="5"/>
      <c r="AN532" s="5"/>
      <c r="AO532" s="14"/>
      <c r="AP532" s="4"/>
    </row>
    <row r="533" spans="18:42">
      <c r="R533" s="9"/>
      <c r="AJ533" s="10"/>
      <c r="AK533" s="8"/>
      <c r="AM533" s="5"/>
      <c r="AN533" s="5"/>
      <c r="AO533" s="14"/>
      <c r="AP533" s="4"/>
    </row>
    <row r="534" spans="18:42">
      <c r="R534" s="9"/>
      <c r="AJ534" s="10"/>
      <c r="AK534" s="8"/>
      <c r="AM534" s="5"/>
      <c r="AN534" s="5"/>
      <c r="AO534" s="14"/>
      <c r="AP534" s="4"/>
    </row>
    <row r="535" spans="18:42">
      <c r="R535" s="9"/>
      <c r="AJ535" s="10"/>
      <c r="AK535" s="8"/>
      <c r="AM535" s="5"/>
      <c r="AN535" s="5"/>
      <c r="AO535" s="14"/>
      <c r="AP535" s="4"/>
    </row>
    <row r="536" spans="18:42">
      <c r="R536" s="9"/>
      <c r="AJ536" s="10"/>
      <c r="AK536" s="8"/>
      <c r="AM536" s="5"/>
      <c r="AN536" s="5"/>
      <c r="AO536" s="14"/>
      <c r="AP536" s="4"/>
    </row>
    <row r="537" spans="18:42">
      <c r="R537" s="9"/>
      <c r="AJ537" s="10"/>
      <c r="AK537" s="8"/>
      <c r="AM537" s="5"/>
      <c r="AN537" s="5"/>
      <c r="AO537" s="14"/>
      <c r="AP537" s="4"/>
    </row>
    <row r="538" spans="18:42">
      <c r="R538" s="9"/>
      <c r="AJ538" s="10"/>
      <c r="AK538" s="8"/>
      <c r="AM538" s="5"/>
      <c r="AN538" s="5"/>
      <c r="AO538" s="14"/>
      <c r="AP538" s="4"/>
    </row>
    <row r="539" spans="18:42">
      <c r="R539" s="9"/>
      <c r="AJ539" s="10"/>
      <c r="AK539" s="8"/>
      <c r="AM539" s="5"/>
      <c r="AN539" s="5"/>
      <c r="AO539" s="14"/>
      <c r="AP539" s="4"/>
    </row>
    <row r="540" spans="18:42">
      <c r="R540" s="9"/>
      <c r="AJ540" s="10"/>
      <c r="AK540" s="8"/>
      <c r="AM540" s="5"/>
      <c r="AN540" s="5"/>
      <c r="AO540" s="14"/>
      <c r="AP540" s="4"/>
    </row>
    <row r="541" spans="18:42">
      <c r="R541" s="9"/>
      <c r="AJ541" s="10"/>
      <c r="AK541" s="8"/>
      <c r="AM541" s="5"/>
      <c r="AN541" s="5"/>
      <c r="AO541" s="14"/>
      <c r="AP541" s="4"/>
    </row>
    <row r="542" spans="18:42">
      <c r="R542" s="9"/>
      <c r="AJ542" s="10"/>
      <c r="AK542" s="8"/>
      <c r="AM542" s="5"/>
      <c r="AN542" s="5"/>
      <c r="AO542" s="14"/>
      <c r="AP542" s="4"/>
    </row>
    <row r="543" spans="18:42">
      <c r="R543" s="9"/>
      <c r="AJ543" s="10"/>
      <c r="AK543" s="8"/>
      <c r="AM543" s="5"/>
      <c r="AN543" s="5"/>
      <c r="AO543" s="14"/>
      <c r="AP543" s="4"/>
    </row>
    <row r="544" spans="18:42">
      <c r="R544" s="9"/>
      <c r="AJ544" s="10"/>
      <c r="AK544" s="8"/>
      <c r="AM544" s="5"/>
      <c r="AN544" s="5"/>
      <c r="AO544" s="14"/>
      <c r="AP544" s="4"/>
    </row>
    <row r="545" spans="18:42">
      <c r="R545" s="9"/>
      <c r="AJ545" s="10"/>
      <c r="AK545" s="8"/>
      <c r="AM545" s="5"/>
      <c r="AN545" s="5"/>
      <c r="AO545" s="14"/>
      <c r="AP545" s="4"/>
    </row>
    <row r="546" spans="18:42">
      <c r="R546" s="9"/>
      <c r="AJ546" s="10"/>
      <c r="AK546" s="8"/>
      <c r="AM546" s="5"/>
      <c r="AN546" s="5"/>
      <c r="AO546" s="14"/>
      <c r="AP546" s="4"/>
    </row>
    <row r="547" spans="18:42">
      <c r="R547" s="9"/>
      <c r="AJ547" s="10"/>
      <c r="AK547" s="8"/>
      <c r="AM547" s="5"/>
      <c r="AN547" s="5"/>
      <c r="AO547" s="14"/>
      <c r="AP547" s="4"/>
    </row>
    <row r="548" spans="18:42">
      <c r="R548" s="9"/>
      <c r="AJ548" s="10"/>
      <c r="AK548" s="8"/>
      <c r="AM548" s="5"/>
      <c r="AN548" s="5"/>
      <c r="AO548" s="14"/>
      <c r="AP548" s="4"/>
    </row>
    <row r="549" spans="18:42">
      <c r="R549" s="9"/>
      <c r="AJ549" s="10"/>
      <c r="AK549" s="8"/>
      <c r="AM549" s="5"/>
      <c r="AN549" s="5"/>
      <c r="AO549" s="14"/>
      <c r="AP549" s="4"/>
    </row>
    <row r="550" spans="18:42">
      <c r="R550" s="9"/>
      <c r="AJ550" s="10"/>
      <c r="AK550" s="8"/>
      <c r="AM550" s="5"/>
      <c r="AN550" s="5"/>
      <c r="AO550" s="14"/>
      <c r="AP550" s="4"/>
    </row>
    <row r="551" spans="18:42">
      <c r="R551" s="9"/>
      <c r="AJ551" s="10"/>
      <c r="AK551" s="8"/>
      <c r="AM551" s="5"/>
      <c r="AN551" s="5"/>
      <c r="AO551" s="14"/>
      <c r="AP551" s="4"/>
    </row>
    <row r="552" spans="18:42">
      <c r="R552" s="9"/>
      <c r="AJ552" s="10"/>
      <c r="AK552" s="8"/>
      <c r="AM552" s="5"/>
      <c r="AN552" s="5"/>
      <c r="AO552" s="14"/>
      <c r="AP552" s="4"/>
    </row>
    <row r="553" spans="18:42">
      <c r="R553" s="9"/>
      <c r="AJ553" s="10"/>
      <c r="AK553" s="8"/>
      <c r="AM553" s="5"/>
      <c r="AN553" s="5"/>
      <c r="AO553" s="14"/>
      <c r="AP553" s="4"/>
    </row>
    <row r="554" spans="18:42">
      <c r="R554" s="9"/>
      <c r="AJ554" s="10"/>
      <c r="AK554" s="8"/>
      <c r="AM554" s="5"/>
      <c r="AN554" s="5"/>
      <c r="AO554" s="14"/>
      <c r="AP554" s="4"/>
    </row>
    <row r="555" spans="18:42">
      <c r="R555" s="9"/>
      <c r="AJ555" s="10"/>
      <c r="AK555" s="8"/>
      <c r="AM555" s="5"/>
      <c r="AN555" s="5"/>
      <c r="AO555" s="14"/>
      <c r="AP555" s="4"/>
    </row>
    <row r="556" spans="18:42">
      <c r="R556" s="9"/>
      <c r="AJ556" s="10"/>
      <c r="AK556" s="8"/>
      <c r="AM556" s="5"/>
      <c r="AN556" s="5"/>
      <c r="AO556" s="14"/>
      <c r="AP556" s="4"/>
    </row>
    <row r="557" spans="18:42">
      <c r="R557" s="9"/>
      <c r="AJ557" s="10"/>
      <c r="AK557" s="8"/>
      <c r="AM557" s="5"/>
      <c r="AN557" s="5"/>
      <c r="AO557" s="14"/>
      <c r="AP557" s="4"/>
    </row>
    <row r="558" spans="18:42">
      <c r="R558" s="9"/>
      <c r="AJ558" s="10"/>
      <c r="AK558" s="8"/>
      <c r="AM558" s="5"/>
      <c r="AN558" s="5"/>
      <c r="AO558" s="14"/>
      <c r="AP558" s="4"/>
    </row>
    <row r="559" spans="18:42">
      <c r="R559" s="9"/>
      <c r="AJ559" s="10"/>
      <c r="AK559" s="8"/>
      <c r="AM559" s="5"/>
      <c r="AN559" s="5"/>
      <c r="AO559" s="14"/>
      <c r="AP559" s="4"/>
    </row>
    <row r="560" spans="18:42">
      <c r="R560" s="9"/>
      <c r="AJ560" s="10"/>
      <c r="AK560" s="8"/>
      <c r="AM560" s="5"/>
      <c r="AN560" s="5"/>
      <c r="AO560" s="14"/>
      <c r="AP560" s="4"/>
    </row>
    <row r="561" spans="18:42">
      <c r="R561" s="9"/>
      <c r="AJ561" s="10"/>
      <c r="AK561" s="8"/>
      <c r="AM561" s="5"/>
      <c r="AN561" s="5"/>
      <c r="AO561" s="14"/>
      <c r="AP561" s="4"/>
    </row>
    <row r="562" spans="18:42">
      <c r="R562" s="9"/>
      <c r="AJ562" s="10"/>
      <c r="AK562" s="8"/>
      <c r="AM562" s="5"/>
      <c r="AN562" s="5"/>
      <c r="AO562" s="14"/>
      <c r="AP562" s="4"/>
    </row>
    <row r="563" spans="18:42">
      <c r="R563" s="9"/>
      <c r="AJ563" s="10"/>
      <c r="AK563" s="8"/>
      <c r="AM563" s="5"/>
      <c r="AN563" s="5"/>
      <c r="AO563" s="14"/>
      <c r="AP563" s="4"/>
    </row>
    <row r="564" spans="18:42">
      <c r="R564" s="9"/>
      <c r="AJ564" s="10"/>
      <c r="AK564" s="8"/>
      <c r="AM564" s="5"/>
      <c r="AN564" s="5"/>
      <c r="AO564" s="14"/>
      <c r="AP564" s="4"/>
    </row>
    <row r="565" spans="18:42">
      <c r="R565" s="9"/>
      <c r="AJ565" s="10"/>
      <c r="AK565" s="8"/>
      <c r="AM565" s="5"/>
      <c r="AN565" s="5"/>
      <c r="AO565" s="14"/>
      <c r="AP565" s="4"/>
    </row>
    <row r="566" spans="18:42">
      <c r="R566" s="9"/>
      <c r="AJ566" s="10"/>
      <c r="AK566" s="8"/>
      <c r="AM566" s="5"/>
      <c r="AN566" s="5"/>
      <c r="AO566" s="14"/>
      <c r="AP566" s="4"/>
    </row>
    <row r="567" spans="18:42">
      <c r="R567" s="9"/>
      <c r="AJ567" s="10"/>
      <c r="AK567" s="8"/>
      <c r="AM567" s="5"/>
      <c r="AN567" s="5"/>
      <c r="AO567" s="14"/>
      <c r="AP567" s="4"/>
    </row>
    <row r="568" spans="18:42">
      <c r="R568" s="9"/>
      <c r="AJ568" s="10"/>
      <c r="AK568" s="8"/>
      <c r="AM568" s="5"/>
      <c r="AN568" s="5"/>
      <c r="AO568" s="14"/>
      <c r="AP568" s="4"/>
    </row>
    <row r="569" spans="18:42">
      <c r="R569" s="9"/>
      <c r="AJ569" s="10"/>
      <c r="AK569" s="8"/>
      <c r="AM569" s="5"/>
      <c r="AN569" s="5"/>
      <c r="AO569" s="14"/>
      <c r="AP569" s="4"/>
    </row>
    <row r="570" spans="18:42">
      <c r="R570" s="9"/>
      <c r="AJ570" s="10"/>
      <c r="AK570" s="8"/>
      <c r="AM570" s="5"/>
      <c r="AN570" s="5"/>
      <c r="AO570" s="14"/>
      <c r="AP570" s="4"/>
    </row>
    <row r="571" spans="18:42">
      <c r="R571" s="9"/>
      <c r="AJ571" s="10"/>
      <c r="AK571" s="8"/>
      <c r="AM571" s="5"/>
      <c r="AN571" s="5"/>
      <c r="AO571" s="14"/>
      <c r="AP571" s="4"/>
    </row>
    <row r="572" spans="18:42">
      <c r="R572" s="9"/>
      <c r="AJ572" s="10"/>
      <c r="AK572" s="8"/>
      <c r="AM572" s="5"/>
      <c r="AN572" s="5"/>
      <c r="AO572" s="14"/>
      <c r="AP572" s="4"/>
    </row>
    <row r="573" spans="18:42">
      <c r="R573" s="9"/>
      <c r="AJ573" s="10"/>
      <c r="AK573" s="8"/>
      <c r="AM573" s="5"/>
      <c r="AN573" s="5"/>
      <c r="AO573" s="14"/>
      <c r="AP573" s="4"/>
    </row>
    <row r="574" spans="18:42">
      <c r="R574" s="9"/>
      <c r="AJ574" s="10"/>
      <c r="AK574" s="8"/>
      <c r="AM574" s="5"/>
      <c r="AN574" s="5"/>
      <c r="AO574" s="14"/>
      <c r="AP574" s="4"/>
    </row>
    <row r="575" spans="18:42">
      <c r="R575" s="9"/>
      <c r="AJ575" s="10"/>
      <c r="AK575" s="8"/>
      <c r="AM575" s="5"/>
      <c r="AN575" s="5"/>
      <c r="AO575" s="14"/>
      <c r="AP575" s="4"/>
    </row>
    <row r="576" spans="18:42">
      <c r="R576" s="9"/>
      <c r="AJ576" s="10"/>
      <c r="AK576" s="8"/>
      <c r="AM576" s="5"/>
      <c r="AN576" s="5"/>
      <c r="AO576" s="14"/>
      <c r="AP576" s="4"/>
    </row>
    <row r="577" spans="18:42">
      <c r="R577" s="9"/>
      <c r="AJ577" s="10"/>
      <c r="AK577" s="8"/>
      <c r="AM577" s="5"/>
      <c r="AN577" s="5"/>
      <c r="AO577" s="14"/>
      <c r="AP577" s="4"/>
    </row>
    <row r="578" spans="18:42">
      <c r="R578" s="9"/>
      <c r="AJ578" s="10"/>
      <c r="AK578" s="8"/>
      <c r="AM578" s="5"/>
      <c r="AN578" s="5"/>
      <c r="AO578" s="14"/>
      <c r="AP578" s="4"/>
    </row>
    <row r="579" spans="18:42">
      <c r="R579" s="9"/>
      <c r="AJ579" s="10"/>
      <c r="AK579" s="8"/>
      <c r="AM579" s="5"/>
      <c r="AN579" s="5"/>
      <c r="AO579" s="14"/>
      <c r="AP579" s="4"/>
    </row>
    <row r="580" spans="18:42">
      <c r="R580" s="9"/>
      <c r="AJ580" s="10"/>
      <c r="AK580" s="8"/>
      <c r="AM580" s="5"/>
      <c r="AN580" s="5"/>
      <c r="AO580" s="14"/>
      <c r="AP580" s="4"/>
    </row>
    <row r="581" spans="18:42">
      <c r="R581" s="9"/>
      <c r="AJ581" s="10"/>
      <c r="AK581" s="8"/>
      <c r="AM581" s="5"/>
      <c r="AN581" s="5"/>
      <c r="AO581" s="14"/>
      <c r="AP581" s="4"/>
    </row>
    <row r="582" spans="18:42">
      <c r="R582" s="9"/>
      <c r="AJ582" s="10"/>
      <c r="AK582" s="8"/>
      <c r="AM582" s="5"/>
      <c r="AN582" s="5"/>
      <c r="AO582" s="14"/>
      <c r="AP582" s="4"/>
    </row>
    <row r="583" spans="18:42">
      <c r="R583" s="9"/>
      <c r="AJ583" s="10"/>
      <c r="AK583" s="8"/>
      <c r="AM583" s="5"/>
      <c r="AN583" s="5"/>
      <c r="AO583" s="14"/>
      <c r="AP583" s="4"/>
    </row>
    <row r="584" spans="18:42">
      <c r="R584" s="9"/>
      <c r="AJ584" s="10"/>
      <c r="AK584" s="8"/>
      <c r="AM584" s="5"/>
      <c r="AN584" s="5"/>
      <c r="AO584" s="14"/>
      <c r="AP584" s="4"/>
    </row>
    <row r="585" spans="18:42">
      <c r="R585" s="9"/>
      <c r="AJ585" s="10"/>
      <c r="AK585" s="8"/>
      <c r="AM585" s="5"/>
      <c r="AN585" s="5"/>
      <c r="AO585" s="14"/>
      <c r="AP585" s="4"/>
    </row>
    <row r="586" spans="18:42">
      <c r="R586" s="9"/>
      <c r="AJ586" s="10"/>
      <c r="AK586" s="8"/>
      <c r="AM586" s="5"/>
      <c r="AN586" s="5"/>
      <c r="AO586" s="14"/>
      <c r="AP586" s="4"/>
    </row>
    <row r="587" spans="18:42">
      <c r="R587" s="9"/>
      <c r="AJ587" s="10"/>
      <c r="AK587" s="8"/>
      <c r="AM587" s="5"/>
      <c r="AN587" s="5"/>
      <c r="AO587" s="14"/>
      <c r="AP587" s="4"/>
    </row>
    <row r="588" spans="18:42">
      <c r="R588" s="9"/>
      <c r="AJ588" s="10"/>
      <c r="AK588" s="8"/>
      <c r="AM588" s="5"/>
      <c r="AN588" s="5"/>
      <c r="AO588" s="14"/>
      <c r="AP588" s="4"/>
    </row>
    <row r="589" spans="18:42">
      <c r="R589" s="9"/>
      <c r="AJ589" s="10"/>
      <c r="AK589" s="8"/>
      <c r="AM589" s="5"/>
      <c r="AN589" s="5"/>
      <c r="AO589" s="14"/>
      <c r="AP589" s="4"/>
    </row>
    <row r="590" spans="18:42">
      <c r="R590" s="9"/>
      <c r="AJ590" s="10"/>
      <c r="AK590" s="8"/>
      <c r="AM590" s="5"/>
      <c r="AN590" s="5"/>
      <c r="AO590" s="14"/>
      <c r="AP590" s="4"/>
    </row>
    <row r="591" spans="18:42">
      <c r="R591" s="9"/>
      <c r="AJ591" s="10"/>
      <c r="AK591" s="8"/>
      <c r="AM591" s="5"/>
      <c r="AN591" s="5"/>
      <c r="AO591" s="14"/>
      <c r="AP591" s="4"/>
    </row>
    <row r="592" spans="18:42">
      <c r="R592" s="9"/>
      <c r="AJ592" s="10"/>
      <c r="AK592" s="8"/>
      <c r="AM592" s="5"/>
      <c r="AN592" s="5"/>
      <c r="AO592" s="14"/>
      <c r="AP592" s="4"/>
    </row>
    <row r="593" spans="18:42">
      <c r="R593" s="9"/>
      <c r="AJ593" s="10"/>
      <c r="AK593" s="8"/>
      <c r="AM593" s="5"/>
      <c r="AN593" s="5"/>
      <c r="AO593" s="14"/>
      <c r="AP593" s="4"/>
    </row>
    <row r="594" spans="18:42">
      <c r="R594" s="9"/>
      <c r="AJ594" s="10"/>
      <c r="AK594" s="8"/>
      <c r="AM594" s="5"/>
      <c r="AN594" s="5"/>
      <c r="AO594" s="14"/>
      <c r="AP594" s="4"/>
    </row>
    <row r="595" spans="18:42">
      <c r="R595" s="9"/>
      <c r="AJ595" s="10"/>
      <c r="AK595" s="8"/>
      <c r="AM595" s="5"/>
      <c r="AN595" s="5"/>
      <c r="AO595" s="14"/>
      <c r="AP595" s="4"/>
    </row>
    <row r="596" spans="18:42">
      <c r="R596" s="9"/>
      <c r="AJ596" s="10"/>
      <c r="AK596" s="8"/>
      <c r="AM596" s="5"/>
      <c r="AN596" s="5"/>
      <c r="AO596" s="14"/>
      <c r="AP596" s="4"/>
    </row>
    <row r="597" spans="18:42">
      <c r="R597" s="9"/>
      <c r="AJ597" s="10"/>
      <c r="AK597" s="8"/>
      <c r="AM597" s="5"/>
      <c r="AN597" s="5"/>
      <c r="AO597" s="14"/>
      <c r="AP597" s="4"/>
    </row>
    <row r="598" spans="18:42">
      <c r="R598" s="9"/>
      <c r="AJ598" s="10"/>
      <c r="AK598" s="8"/>
      <c r="AM598" s="5"/>
      <c r="AN598" s="5"/>
      <c r="AO598" s="14"/>
      <c r="AP598" s="4"/>
    </row>
    <row r="599" spans="18:42">
      <c r="R599" s="9"/>
      <c r="AJ599" s="10"/>
      <c r="AK599" s="8"/>
      <c r="AM599" s="5"/>
      <c r="AN599" s="5"/>
      <c r="AO599" s="14"/>
      <c r="AP599" s="4"/>
    </row>
    <row r="600" spans="18:42">
      <c r="R600" s="9"/>
      <c r="AJ600" s="10"/>
      <c r="AK600" s="8"/>
      <c r="AM600" s="5"/>
      <c r="AN600" s="5"/>
      <c r="AO600" s="14"/>
      <c r="AP600" s="4"/>
    </row>
    <row r="601" spans="18:42">
      <c r="R601" s="9"/>
      <c r="AJ601" s="10"/>
      <c r="AK601" s="8"/>
      <c r="AM601" s="5"/>
      <c r="AN601" s="5"/>
      <c r="AO601" s="14"/>
      <c r="AP601" s="4"/>
    </row>
    <row r="602" spans="18:42">
      <c r="R602" s="9"/>
      <c r="AJ602" s="10"/>
      <c r="AK602" s="8"/>
      <c r="AM602" s="5"/>
      <c r="AN602" s="5"/>
      <c r="AO602" s="14"/>
      <c r="AP602" s="4"/>
    </row>
    <row r="603" spans="18:42">
      <c r="R603" s="9"/>
      <c r="AJ603" s="10"/>
      <c r="AK603" s="8"/>
      <c r="AM603" s="5"/>
      <c r="AN603" s="5"/>
      <c r="AO603" s="14"/>
      <c r="AP603" s="4"/>
    </row>
    <row r="604" spans="18:42">
      <c r="R604" s="9"/>
      <c r="AJ604" s="10"/>
      <c r="AK604" s="8"/>
      <c r="AM604" s="5"/>
      <c r="AN604" s="5"/>
      <c r="AO604" s="14"/>
      <c r="AP604" s="4"/>
    </row>
    <row r="605" spans="18:42">
      <c r="R605" s="9"/>
      <c r="AJ605" s="10"/>
      <c r="AK605" s="8"/>
      <c r="AM605" s="5"/>
      <c r="AN605" s="5"/>
      <c r="AO605" s="14"/>
      <c r="AP605" s="4"/>
    </row>
    <row r="606" spans="18:42">
      <c r="R606" s="9"/>
      <c r="AJ606" s="10"/>
      <c r="AK606" s="8"/>
      <c r="AM606" s="5"/>
      <c r="AN606" s="5"/>
      <c r="AO606" s="14"/>
      <c r="AP606" s="4"/>
    </row>
    <row r="607" spans="18:42">
      <c r="R607" s="9"/>
      <c r="AJ607" s="10"/>
      <c r="AK607" s="8"/>
      <c r="AM607" s="5"/>
      <c r="AN607" s="5"/>
      <c r="AO607" s="14"/>
      <c r="AP607" s="4"/>
    </row>
    <row r="608" spans="18:42">
      <c r="R608" s="9"/>
      <c r="AJ608" s="10"/>
      <c r="AK608" s="8"/>
      <c r="AM608" s="5"/>
      <c r="AN608" s="5"/>
      <c r="AO608" s="14"/>
      <c r="AP608" s="4"/>
    </row>
    <row r="609" spans="18:42">
      <c r="R609" s="9"/>
      <c r="AJ609" s="10"/>
      <c r="AK609" s="8"/>
      <c r="AM609" s="5"/>
      <c r="AN609" s="5"/>
      <c r="AO609" s="14"/>
      <c r="AP609" s="4"/>
    </row>
    <row r="610" spans="18:42">
      <c r="R610" s="9"/>
      <c r="AJ610" s="10"/>
      <c r="AK610" s="8"/>
      <c r="AM610" s="5"/>
      <c r="AN610" s="5"/>
      <c r="AO610" s="14"/>
      <c r="AP610" s="4"/>
    </row>
    <row r="611" spans="18:42">
      <c r="R611" s="9"/>
      <c r="AJ611" s="10"/>
      <c r="AK611" s="8"/>
      <c r="AM611" s="5"/>
      <c r="AN611" s="5"/>
      <c r="AO611" s="14"/>
      <c r="AP611" s="4"/>
    </row>
    <row r="612" spans="18:42">
      <c r="R612" s="9"/>
      <c r="AJ612" s="10"/>
      <c r="AK612" s="8"/>
      <c r="AM612" s="5"/>
      <c r="AN612" s="5"/>
      <c r="AO612" s="14"/>
      <c r="AP612" s="4"/>
    </row>
    <row r="613" spans="18:42">
      <c r="R613" s="9"/>
      <c r="AJ613" s="10"/>
      <c r="AK613" s="8"/>
      <c r="AM613" s="5"/>
      <c r="AN613" s="5"/>
      <c r="AO613" s="14"/>
      <c r="AP613" s="4"/>
    </row>
    <row r="614" spans="18:42">
      <c r="R614" s="9"/>
      <c r="AJ614" s="10"/>
      <c r="AK614" s="8"/>
      <c r="AM614" s="5"/>
      <c r="AN614" s="5"/>
      <c r="AO614" s="14"/>
      <c r="AP614" s="4"/>
    </row>
    <row r="615" spans="18:42">
      <c r="R615" s="9"/>
      <c r="AJ615" s="10"/>
      <c r="AK615" s="8"/>
      <c r="AM615" s="5"/>
      <c r="AN615" s="5"/>
      <c r="AO615" s="14"/>
      <c r="AP615" s="4"/>
    </row>
    <row r="616" spans="18:42">
      <c r="R616" s="9"/>
      <c r="AJ616" s="10"/>
      <c r="AK616" s="8"/>
      <c r="AM616" s="5"/>
      <c r="AN616" s="5"/>
      <c r="AO616" s="14"/>
      <c r="AP616" s="4"/>
    </row>
    <row r="617" spans="18:42">
      <c r="R617" s="9"/>
      <c r="AJ617" s="10"/>
      <c r="AK617" s="8"/>
      <c r="AM617" s="5"/>
      <c r="AN617" s="5"/>
      <c r="AO617" s="14"/>
      <c r="AP617" s="4"/>
    </row>
    <row r="618" spans="18:42">
      <c r="R618" s="9"/>
      <c r="AJ618" s="10"/>
      <c r="AK618" s="8"/>
      <c r="AM618" s="5"/>
      <c r="AN618" s="5"/>
      <c r="AO618" s="14"/>
      <c r="AP618" s="4"/>
    </row>
    <row r="619" spans="18:42">
      <c r="R619" s="9"/>
      <c r="AJ619" s="10"/>
      <c r="AK619" s="8"/>
      <c r="AM619" s="5"/>
      <c r="AN619" s="5"/>
      <c r="AO619" s="14"/>
      <c r="AP619" s="4"/>
    </row>
    <row r="620" spans="18:42">
      <c r="R620" s="9"/>
      <c r="AJ620" s="10"/>
      <c r="AK620" s="8"/>
      <c r="AM620" s="5"/>
      <c r="AN620" s="5"/>
      <c r="AO620" s="14"/>
      <c r="AP620" s="4"/>
    </row>
    <row r="621" spans="18:42">
      <c r="R621" s="9"/>
      <c r="AJ621" s="10"/>
      <c r="AK621" s="8"/>
      <c r="AM621" s="5"/>
      <c r="AN621" s="5"/>
      <c r="AO621" s="14"/>
      <c r="AP621" s="4"/>
    </row>
    <row r="622" spans="18:42">
      <c r="R622" s="9"/>
      <c r="AJ622" s="10"/>
      <c r="AK622" s="8"/>
      <c r="AM622" s="5"/>
      <c r="AN622" s="5"/>
      <c r="AO622" s="14"/>
      <c r="AP622" s="4"/>
    </row>
    <row r="623" spans="18:42">
      <c r="R623" s="9"/>
      <c r="AJ623" s="10"/>
      <c r="AK623" s="8"/>
      <c r="AM623" s="5"/>
      <c r="AN623" s="5"/>
      <c r="AO623" s="14"/>
      <c r="AP623" s="4"/>
    </row>
    <row r="624" spans="18:42">
      <c r="R624" s="9"/>
      <c r="AJ624" s="10"/>
      <c r="AK624" s="8"/>
      <c r="AM624" s="5"/>
      <c r="AN624" s="5"/>
      <c r="AO624" s="14"/>
      <c r="AP624" s="4"/>
    </row>
    <row r="625" spans="18:42">
      <c r="R625" s="9"/>
      <c r="AJ625" s="10"/>
      <c r="AK625" s="8"/>
      <c r="AM625" s="5"/>
      <c r="AN625" s="5"/>
      <c r="AO625" s="14"/>
      <c r="AP625" s="4"/>
    </row>
    <row r="626" spans="18:42">
      <c r="R626" s="9"/>
      <c r="AJ626" s="10"/>
      <c r="AK626" s="8"/>
      <c r="AM626" s="5"/>
      <c r="AN626" s="5"/>
      <c r="AO626" s="14"/>
      <c r="AP626" s="4"/>
    </row>
    <row r="627" spans="18:42">
      <c r="R627" s="9"/>
      <c r="AJ627" s="10"/>
      <c r="AK627" s="8"/>
      <c r="AM627" s="5"/>
      <c r="AN627" s="5"/>
      <c r="AO627" s="14"/>
      <c r="AP627" s="4"/>
    </row>
    <row r="628" spans="18:42">
      <c r="R628" s="9"/>
      <c r="AJ628" s="10"/>
      <c r="AK628" s="8"/>
      <c r="AM628" s="5"/>
      <c r="AN628" s="5"/>
      <c r="AO628" s="14"/>
      <c r="AP628" s="4"/>
    </row>
    <row r="629" spans="18:42">
      <c r="R629" s="9"/>
      <c r="AJ629" s="10"/>
      <c r="AK629" s="8"/>
      <c r="AM629" s="5"/>
      <c r="AN629" s="5"/>
      <c r="AO629" s="14"/>
      <c r="AP629" s="4"/>
    </row>
    <row r="630" spans="18:42">
      <c r="R630" s="9"/>
      <c r="AJ630" s="10"/>
      <c r="AK630" s="8"/>
      <c r="AM630" s="5"/>
      <c r="AN630" s="5"/>
      <c r="AO630" s="14"/>
      <c r="AP630" s="4"/>
    </row>
    <row r="631" spans="18:42">
      <c r="R631" s="9"/>
      <c r="AJ631" s="10"/>
      <c r="AK631" s="8"/>
      <c r="AM631" s="5"/>
      <c r="AN631" s="5"/>
      <c r="AO631" s="14"/>
      <c r="AP631" s="4"/>
    </row>
    <row r="632" spans="18:42">
      <c r="R632" s="9"/>
      <c r="AJ632" s="10"/>
      <c r="AK632" s="8"/>
      <c r="AM632" s="5"/>
      <c r="AN632" s="5"/>
      <c r="AO632" s="14"/>
      <c r="AP632" s="4"/>
    </row>
    <row r="633" spans="18:42">
      <c r="R633" s="9"/>
      <c r="AJ633" s="10"/>
      <c r="AK633" s="8"/>
      <c r="AM633" s="5"/>
      <c r="AN633" s="5"/>
      <c r="AO633" s="14"/>
      <c r="AP633" s="4"/>
    </row>
    <row r="634" spans="18:42">
      <c r="R634" s="9"/>
      <c r="AJ634" s="10"/>
      <c r="AK634" s="8"/>
      <c r="AM634" s="5"/>
      <c r="AN634" s="5"/>
      <c r="AO634" s="14"/>
      <c r="AP634" s="4"/>
    </row>
    <row r="635" spans="18:42">
      <c r="R635" s="9"/>
      <c r="AJ635" s="10"/>
      <c r="AK635" s="8"/>
      <c r="AM635" s="5"/>
      <c r="AN635" s="5"/>
      <c r="AO635" s="14"/>
      <c r="AP635" s="4"/>
    </row>
    <row r="636" spans="18:42">
      <c r="R636" s="9"/>
      <c r="AJ636" s="10"/>
      <c r="AK636" s="8"/>
      <c r="AM636" s="5"/>
      <c r="AN636" s="5"/>
      <c r="AO636" s="14"/>
      <c r="AP636" s="4"/>
    </row>
    <row r="637" spans="18:42">
      <c r="R637" s="9"/>
      <c r="AJ637" s="10"/>
      <c r="AK637" s="8"/>
      <c r="AM637" s="5"/>
      <c r="AN637" s="5"/>
      <c r="AO637" s="14"/>
      <c r="AP637" s="4"/>
    </row>
    <row r="638" spans="18:42">
      <c r="R638" s="9"/>
      <c r="AJ638" s="10"/>
      <c r="AK638" s="8"/>
      <c r="AM638" s="5"/>
      <c r="AN638" s="5"/>
      <c r="AO638" s="14"/>
      <c r="AP638" s="4"/>
    </row>
    <row r="639" spans="18:42">
      <c r="R639" s="9"/>
      <c r="AJ639" s="10"/>
      <c r="AK639" s="8"/>
      <c r="AM639" s="5"/>
      <c r="AN639" s="5"/>
      <c r="AO639" s="14"/>
      <c r="AP639" s="4"/>
    </row>
    <row r="640" spans="18:42">
      <c r="R640" s="9"/>
      <c r="AJ640" s="10"/>
      <c r="AK640" s="8"/>
      <c r="AM640" s="5"/>
      <c r="AN640" s="5"/>
      <c r="AO640" s="14"/>
      <c r="AP640" s="4"/>
    </row>
    <row r="641" spans="18:42">
      <c r="R641" s="9"/>
      <c r="AJ641" s="10"/>
      <c r="AK641" s="8"/>
      <c r="AM641" s="5"/>
      <c r="AN641" s="5"/>
      <c r="AO641" s="14"/>
      <c r="AP641" s="4"/>
    </row>
    <row r="642" spans="18:42">
      <c r="R642" s="9"/>
      <c r="AJ642" s="10"/>
      <c r="AK642" s="8"/>
      <c r="AM642" s="5"/>
      <c r="AN642" s="5"/>
      <c r="AO642" s="14"/>
      <c r="AP642" s="4"/>
    </row>
    <row r="643" spans="18:42">
      <c r="R643" s="9"/>
      <c r="AJ643" s="10"/>
      <c r="AK643" s="8"/>
      <c r="AM643" s="5"/>
      <c r="AN643" s="5"/>
      <c r="AO643" s="14"/>
      <c r="AP643" s="4"/>
    </row>
    <row r="644" spans="18:42">
      <c r="R644" s="9"/>
      <c r="AJ644" s="10"/>
      <c r="AK644" s="8"/>
      <c r="AM644" s="5"/>
      <c r="AN644" s="5"/>
      <c r="AO644" s="14"/>
      <c r="AP644" s="4"/>
    </row>
    <row r="645" spans="18:42">
      <c r="R645" s="9"/>
      <c r="AJ645" s="10"/>
      <c r="AK645" s="8"/>
      <c r="AM645" s="5"/>
      <c r="AN645" s="5"/>
      <c r="AO645" s="14"/>
      <c r="AP645" s="4"/>
    </row>
    <row r="646" spans="18:42">
      <c r="R646" s="9"/>
      <c r="AJ646" s="10"/>
      <c r="AK646" s="8"/>
      <c r="AM646" s="5"/>
      <c r="AN646" s="5"/>
      <c r="AO646" s="14"/>
      <c r="AP646" s="4"/>
    </row>
    <row r="647" spans="18:42">
      <c r="R647" s="9"/>
      <c r="AJ647" s="10"/>
      <c r="AK647" s="8"/>
      <c r="AM647" s="5"/>
      <c r="AN647" s="5"/>
      <c r="AO647" s="14"/>
      <c r="AP647" s="4"/>
    </row>
    <row r="648" spans="18:42">
      <c r="R648" s="9"/>
      <c r="AJ648" s="10"/>
      <c r="AK648" s="8"/>
      <c r="AM648" s="5"/>
      <c r="AN648" s="5"/>
      <c r="AO648" s="14"/>
      <c r="AP648" s="4"/>
    </row>
    <row r="649" spans="18:42">
      <c r="R649" s="9"/>
      <c r="AJ649" s="10"/>
      <c r="AK649" s="8"/>
      <c r="AM649" s="5"/>
      <c r="AN649" s="5"/>
      <c r="AO649" s="14"/>
      <c r="AP649" s="4"/>
    </row>
    <row r="650" spans="18:42">
      <c r="R650" s="9"/>
      <c r="AJ650" s="10"/>
      <c r="AK650" s="8"/>
      <c r="AM650" s="5"/>
      <c r="AN650" s="5"/>
      <c r="AO650" s="14"/>
      <c r="AP650" s="4"/>
    </row>
    <row r="651" spans="18:42">
      <c r="R651" s="9"/>
      <c r="AJ651" s="10"/>
      <c r="AK651" s="8"/>
      <c r="AM651" s="5"/>
      <c r="AN651" s="5"/>
      <c r="AO651" s="14"/>
      <c r="AP651" s="4"/>
    </row>
    <row r="652" spans="18:42">
      <c r="R652" s="9"/>
      <c r="AJ652" s="10"/>
      <c r="AK652" s="8"/>
      <c r="AM652" s="5"/>
      <c r="AN652" s="5"/>
      <c r="AO652" s="14"/>
      <c r="AP652" s="4"/>
    </row>
    <row r="653" spans="18:42">
      <c r="R653" s="9"/>
      <c r="AJ653" s="10"/>
      <c r="AK653" s="8"/>
      <c r="AM653" s="5"/>
      <c r="AN653" s="5"/>
      <c r="AO653" s="14"/>
      <c r="AP653" s="4"/>
    </row>
    <row r="654" spans="18:42">
      <c r="R654" s="9"/>
      <c r="AJ654" s="10"/>
      <c r="AK654" s="8"/>
      <c r="AM654" s="5"/>
      <c r="AN654" s="5"/>
      <c r="AO654" s="14"/>
      <c r="AP654" s="4"/>
    </row>
    <row r="655" spans="18:42">
      <c r="R655" s="9"/>
      <c r="AJ655" s="10"/>
      <c r="AK655" s="8"/>
      <c r="AM655" s="5"/>
      <c r="AN655" s="5"/>
      <c r="AO655" s="14"/>
      <c r="AP655" s="4"/>
    </row>
    <row r="656" spans="18:42">
      <c r="R656" s="9"/>
      <c r="AJ656" s="10"/>
      <c r="AK656" s="8"/>
      <c r="AM656" s="5"/>
      <c r="AN656" s="5"/>
      <c r="AO656" s="14"/>
      <c r="AP656" s="4"/>
    </row>
    <row r="657" spans="18:42">
      <c r="R657" s="9"/>
      <c r="AJ657" s="10"/>
      <c r="AK657" s="8"/>
      <c r="AM657" s="5"/>
      <c r="AN657" s="5"/>
      <c r="AO657" s="14"/>
      <c r="AP657" s="4"/>
    </row>
    <row r="658" spans="18:42">
      <c r="R658" s="9"/>
      <c r="AJ658" s="10"/>
      <c r="AK658" s="8"/>
      <c r="AM658" s="5"/>
      <c r="AN658" s="5"/>
      <c r="AO658" s="14"/>
      <c r="AP658" s="4"/>
    </row>
    <row r="659" spans="18:42">
      <c r="R659" s="9"/>
      <c r="AJ659" s="10"/>
      <c r="AK659" s="8"/>
      <c r="AM659" s="5"/>
      <c r="AN659" s="5"/>
      <c r="AO659" s="14"/>
      <c r="AP659" s="4"/>
    </row>
    <row r="660" spans="18:42">
      <c r="R660" s="9"/>
      <c r="AJ660" s="10"/>
      <c r="AK660" s="8"/>
      <c r="AM660" s="5"/>
      <c r="AN660" s="5"/>
      <c r="AO660" s="14"/>
      <c r="AP660" s="4"/>
    </row>
    <row r="661" spans="18:42">
      <c r="R661" s="9"/>
      <c r="AJ661" s="10"/>
      <c r="AK661" s="8"/>
      <c r="AM661" s="5"/>
      <c r="AN661" s="5"/>
      <c r="AO661" s="14"/>
      <c r="AP661" s="4"/>
    </row>
    <row r="662" spans="18:42">
      <c r="R662" s="9"/>
      <c r="AJ662" s="10"/>
      <c r="AK662" s="8"/>
      <c r="AM662" s="5"/>
      <c r="AN662" s="5"/>
      <c r="AO662" s="14"/>
      <c r="AP662" s="4"/>
    </row>
    <row r="663" spans="18:42">
      <c r="R663" s="9"/>
      <c r="AJ663" s="10"/>
      <c r="AK663" s="8"/>
      <c r="AM663" s="5"/>
      <c r="AN663" s="5"/>
      <c r="AO663" s="14"/>
      <c r="AP663" s="4"/>
    </row>
    <row r="664" spans="18:42">
      <c r="R664" s="9"/>
      <c r="AJ664" s="10"/>
      <c r="AK664" s="8"/>
      <c r="AM664" s="5"/>
      <c r="AN664" s="5"/>
      <c r="AO664" s="14"/>
      <c r="AP664" s="4"/>
    </row>
    <row r="665" spans="18:42">
      <c r="R665" s="9"/>
      <c r="AJ665" s="10"/>
      <c r="AK665" s="8"/>
      <c r="AM665" s="5"/>
      <c r="AN665" s="5"/>
      <c r="AO665" s="14"/>
      <c r="AP665" s="4"/>
    </row>
    <row r="666" spans="18:42">
      <c r="R666" s="9"/>
      <c r="AJ666" s="10"/>
      <c r="AK666" s="8"/>
      <c r="AM666" s="5"/>
      <c r="AN666" s="5"/>
      <c r="AO666" s="14"/>
      <c r="AP666" s="4"/>
    </row>
    <row r="667" spans="18:42">
      <c r="R667" s="9"/>
      <c r="AJ667" s="10"/>
      <c r="AK667" s="8"/>
      <c r="AM667" s="5"/>
      <c r="AN667" s="5"/>
      <c r="AO667" s="14"/>
      <c r="AP667" s="4"/>
    </row>
    <row r="668" spans="18:42">
      <c r="R668" s="9"/>
      <c r="AJ668" s="10"/>
      <c r="AK668" s="8"/>
      <c r="AM668" s="5"/>
      <c r="AN668" s="5"/>
      <c r="AO668" s="14"/>
      <c r="AP668" s="4"/>
    </row>
    <row r="669" spans="18:42">
      <c r="R669" s="9"/>
      <c r="AJ669" s="10"/>
      <c r="AK669" s="8"/>
      <c r="AM669" s="5"/>
      <c r="AN669" s="5"/>
      <c r="AO669" s="14"/>
      <c r="AP669" s="4"/>
    </row>
    <row r="670" spans="18:42">
      <c r="R670" s="9"/>
      <c r="AJ670" s="10"/>
      <c r="AK670" s="8"/>
      <c r="AM670" s="5"/>
      <c r="AN670" s="5"/>
      <c r="AO670" s="14"/>
      <c r="AP670" s="4"/>
    </row>
    <row r="671" spans="18:42">
      <c r="R671" s="9"/>
      <c r="AJ671" s="10"/>
      <c r="AK671" s="8"/>
      <c r="AM671" s="5"/>
      <c r="AN671" s="5"/>
      <c r="AO671" s="14"/>
      <c r="AP671" s="4"/>
    </row>
    <row r="672" spans="18:42">
      <c r="R672" s="9"/>
      <c r="AJ672" s="10"/>
      <c r="AK672" s="8"/>
      <c r="AM672" s="5"/>
      <c r="AN672" s="5"/>
      <c r="AO672" s="14"/>
      <c r="AP672" s="4"/>
    </row>
    <row r="673" spans="18:42">
      <c r="R673" s="9"/>
      <c r="AJ673" s="10"/>
      <c r="AK673" s="8"/>
      <c r="AM673" s="5"/>
      <c r="AN673" s="5"/>
      <c r="AO673" s="14"/>
      <c r="AP673" s="4"/>
    </row>
    <row r="674" spans="18:42">
      <c r="R674" s="9"/>
      <c r="AJ674" s="10"/>
      <c r="AK674" s="8"/>
      <c r="AM674" s="5"/>
      <c r="AN674" s="5"/>
      <c r="AO674" s="14"/>
      <c r="AP674" s="4"/>
    </row>
    <row r="675" spans="18:42">
      <c r="R675" s="9"/>
      <c r="AJ675" s="10"/>
      <c r="AK675" s="8"/>
      <c r="AM675" s="5"/>
      <c r="AN675" s="5"/>
      <c r="AO675" s="14"/>
      <c r="AP675" s="4"/>
    </row>
    <row r="676" spans="18:42">
      <c r="R676" s="9"/>
      <c r="AJ676" s="10"/>
      <c r="AK676" s="8"/>
      <c r="AM676" s="5"/>
      <c r="AN676" s="5"/>
      <c r="AO676" s="14"/>
      <c r="AP676" s="4"/>
    </row>
    <row r="677" spans="18:42">
      <c r="R677" s="9"/>
      <c r="AJ677" s="10"/>
      <c r="AK677" s="8"/>
      <c r="AM677" s="5"/>
      <c r="AN677" s="5"/>
      <c r="AO677" s="14"/>
      <c r="AP677" s="4"/>
    </row>
    <row r="678" spans="18:42">
      <c r="R678" s="9"/>
      <c r="AJ678" s="10"/>
      <c r="AK678" s="8"/>
      <c r="AM678" s="5"/>
      <c r="AN678" s="5"/>
      <c r="AO678" s="14"/>
      <c r="AP678" s="4"/>
    </row>
    <row r="679" spans="18:42">
      <c r="R679" s="9"/>
      <c r="AJ679" s="10"/>
      <c r="AK679" s="8"/>
      <c r="AM679" s="5"/>
      <c r="AN679" s="5"/>
      <c r="AO679" s="14"/>
      <c r="AP679" s="4"/>
    </row>
    <row r="680" spans="18:42">
      <c r="R680" s="9"/>
      <c r="AJ680" s="10"/>
      <c r="AK680" s="8"/>
      <c r="AM680" s="5"/>
      <c r="AN680" s="5"/>
      <c r="AO680" s="14"/>
      <c r="AP680" s="4"/>
    </row>
    <row r="681" spans="18:42">
      <c r="R681" s="9"/>
      <c r="AJ681" s="10"/>
      <c r="AK681" s="8"/>
      <c r="AM681" s="5"/>
      <c r="AN681" s="5"/>
      <c r="AO681" s="14"/>
      <c r="AP681" s="4"/>
    </row>
    <row r="682" spans="18:42">
      <c r="R682" s="9"/>
      <c r="AJ682" s="10"/>
      <c r="AK682" s="8"/>
      <c r="AM682" s="5"/>
      <c r="AN682" s="5"/>
      <c r="AO682" s="14"/>
      <c r="AP682" s="4"/>
    </row>
    <row r="683" spans="18:42">
      <c r="R683" s="9"/>
      <c r="AJ683" s="10"/>
      <c r="AK683" s="8"/>
      <c r="AM683" s="5"/>
      <c r="AN683" s="5"/>
      <c r="AO683" s="14"/>
      <c r="AP683" s="4"/>
    </row>
    <row r="684" spans="18:42">
      <c r="R684" s="9"/>
      <c r="AJ684" s="10"/>
      <c r="AK684" s="8"/>
      <c r="AM684" s="5"/>
      <c r="AN684" s="5"/>
      <c r="AO684" s="14"/>
      <c r="AP684" s="4"/>
    </row>
    <row r="685" spans="18:42">
      <c r="R685" s="9"/>
      <c r="AJ685" s="10"/>
      <c r="AK685" s="8"/>
      <c r="AM685" s="5"/>
      <c r="AN685" s="5"/>
      <c r="AO685" s="14"/>
      <c r="AP685" s="4"/>
    </row>
    <row r="686" spans="18:42">
      <c r="R686" s="9"/>
      <c r="AJ686" s="10"/>
      <c r="AK686" s="8"/>
      <c r="AM686" s="5"/>
      <c r="AN686" s="5"/>
      <c r="AO686" s="14"/>
      <c r="AP686" s="4"/>
    </row>
    <row r="687" spans="18:42">
      <c r="R687" s="9"/>
      <c r="AJ687" s="10"/>
      <c r="AK687" s="8"/>
      <c r="AM687" s="5"/>
      <c r="AN687" s="5"/>
      <c r="AO687" s="14"/>
      <c r="AP687" s="4"/>
    </row>
    <row r="688" spans="18:42">
      <c r="R688" s="9"/>
      <c r="AJ688" s="10"/>
      <c r="AK688" s="8"/>
      <c r="AM688" s="5"/>
      <c r="AN688" s="5"/>
      <c r="AO688" s="14"/>
      <c r="AP688" s="4"/>
    </row>
    <row r="689" spans="18:42">
      <c r="R689" s="9"/>
      <c r="AJ689" s="10"/>
      <c r="AK689" s="8"/>
      <c r="AM689" s="5"/>
      <c r="AN689" s="5"/>
      <c r="AO689" s="14"/>
      <c r="AP689" s="4"/>
    </row>
    <row r="690" spans="18:42">
      <c r="R690" s="9"/>
      <c r="AJ690" s="10"/>
      <c r="AK690" s="8"/>
      <c r="AM690" s="5"/>
      <c r="AN690" s="5"/>
      <c r="AO690" s="14"/>
      <c r="AP690" s="4"/>
    </row>
    <row r="691" spans="18:42">
      <c r="R691" s="9"/>
      <c r="AJ691" s="10"/>
      <c r="AK691" s="8"/>
      <c r="AM691" s="5"/>
      <c r="AN691" s="5"/>
      <c r="AO691" s="14"/>
      <c r="AP691" s="4"/>
    </row>
    <row r="692" spans="18:42">
      <c r="R692" s="9"/>
      <c r="AJ692" s="10"/>
      <c r="AK692" s="8"/>
      <c r="AM692" s="5"/>
      <c r="AN692" s="5"/>
      <c r="AO692" s="14"/>
      <c r="AP692" s="4"/>
    </row>
    <row r="693" spans="18:42">
      <c r="R693" s="9"/>
      <c r="AJ693" s="10"/>
      <c r="AK693" s="8"/>
      <c r="AM693" s="5"/>
      <c r="AN693" s="5"/>
      <c r="AO693" s="14"/>
      <c r="AP693" s="4"/>
    </row>
    <row r="694" spans="18:42">
      <c r="R694" s="9"/>
      <c r="AJ694" s="10"/>
      <c r="AK694" s="8"/>
      <c r="AM694" s="5"/>
      <c r="AN694" s="5"/>
      <c r="AO694" s="14"/>
      <c r="AP694" s="4"/>
    </row>
    <row r="695" spans="18:42">
      <c r="R695" s="9"/>
      <c r="AJ695" s="10"/>
      <c r="AK695" s="8"/>
      <c r="AM695" s="5"/>
      <c r="AN695" s="5"/>
      <c r="AO695" s="14"/>
      <c r="AP695" s="4"/>
    </row>
    <row r="696" spans="18:42">
      <c r="R696" s="9"/>
      <c r="AJ696" s="10"/>
      <c r="AK696" s="8"/>
      <c r="AM696" s="5"/>
      <c r="AN696" s="5"/>
      <c r="AO696" s="14"/>
      <c r="AP696" s="4"/>
    </row>
    <row r="697" spans="18:42">
      <c r="R697" s="9"/>
      <c r="AJ697" s="10"/>
      <c r="AK697" s="8"/>
      <c r="AM697" s="5"/>
      <c r="AN697" s="5"/>
      <c r="AO697" s="14"/>
      <c r="AP697" s="4"/>
    </row>
    <row r="698" spans="18:42">
      <c r="R698" s="9"/>
      <c r="AJ698" s="10"/>
      <c r="AK698" s="8"/>
      <c r="AM698" s="5"/>
      <c r="AN698" s="5"/>
      <c r="AO698" s="14"/>
      <c r="AP698" s="4"/>
    </row>
    <row r="699" spans="18:42">
      <c r="R699" s="9"/>
      <c r="AJ699" s="10"/>
      <c r="AK699" s="8"/>
      <c r="AM699" s="5"/>
      <c r="AN699" s="5"/>
      <c r="AO699" s="14"/>
      <c r="AP699" s="4"/>
    </row>
    <row r="700" spans="18:42">
      <c r="R700" s="9"/>
      <c r="AJ700" s="10"/>
      <c r="AK700" s="8"/>
      <c r="AM700" s="5"/>
      <c r="AN700" s="5"/>
      <c r="AO700" s="14"/>
      <c r="AP700" s="4"/>
    </row>
    <row r="701" spans="18:42">
      <c r="R701" s="9"/>
      <c r="AJ701" s="10"/>
      <c r="AK701" s="8"/>
      <c r="AM701" s="5"/>
      <c r="AN701" s="5"/>
      <c r="AO701" s="14"/>
      <c r="AP701" s="4"/>
    </row>
    <row r="702" spans="18:42">
      <c r="R702" s="9"/>
      <c r="AJ702" s="10"/>
      <c r="AK702" s="8"/>
      <c r="AM702" s="5"/>
      <c r="AN702" s="5"/>
      <c r="AO702" s="14"/>
      <c r="AP702" s="4"/>
    </row>
    <row r="703" spans="18:42">
      <c r="R703" s="9"/>
      <c r="AJ703" s="10"/>
      <c r="AK703" s="8"/>
      <c r="AM703" s="5"/>
      <c r="AN703" s="5"/>
      <c r="AO703" s="14"/>
      <c r="AP703" s="4"/>
    </row>
    <row r="704" spans="18:42">
      <c r="R704" s="9"/>
      <c r="AJ704" s="10"/>
      <c r="AK704" s="8"/>
      <c r="AM704" s="5"/>
      <c r="AN704" s="5"/>
      <c r="AO704" s="14"/>
      <c r="AP704" s="4"/>
    </row>
    <row r="705" spans="18:42">
      <c r="R705" s="9"/>
      <c r="AJ705" s="10"/>
      <c r="AK705" s="8"/>
      <c r="AM705" s="5"/>
      <c r="AN705" s="5"/>
      <c r="AO705" s="14"/>
      <c r="AP705" s="4"/>
    </row>
    <row r="706" spans="18:42">
      <c r="R706" s="9"/>
      <c r="AJ706" s="10"/>
      <c r="AK706" s="8"/>
      <c r="AM706" s="5"/>
      <c r="AN706" s="5"/>
      <c r="AO706" s="14"/>
      <c r="AP706" s="4"/>
    </row>
    <row r="707" spans="18:42">
      <c r="R707" s="9"/>
      <c r="AJ707" s="10"/>
      <c r="AK707" s="8"/>
      <c r="AM707" s="5"/>
      <c r="AN707" s="5"/>
      <c r="AO707" s="14"/>
      <c r="AP707" s="4"/>
    </row>
    <row r="708" spans="18:42">
      <c r="R708" s="9"/>
      <c r="AJ708" s="10"/>
      <c r="AK708" s="8"/>
      <c r="AM708" s="5"/>
      <c r="AN708" s="5"/>
      <c r="AO708" s="14"/>
      <c r="AP708" s="4"/>
    </row>
    <row r="709" spans="18:42">
      <c r="R709" s="9"/>
      <c r="AJ709" s="10"/>
      <c r="AK709" s="8"/>
      <c r="AM709" s="5"/>
      <c r="AN709" s="5"/>
      <c r="AO709" s="14"/>
      <c r="AP709" s="4"/>
    </row>
    <row r="710" spans="18:42">
      <c r="R710" s="9"/>
      <c r="AJ710" s="10"/>
      <c r="AK710" s="8"/>
      <c r="AM710" s="5"/>
      <c r="AN710" s="5"/>
      <c r="AO710" s="14"/>
      <c r="AP710" s="4"/>
    </row>
    <row r="711" spans="18:42">
      <c r="R711" s="9"/>
      <c r="AJ711" s="10"/>
      <c r="AK711" s="8"/>
      <c r="AM711" s="5"/>
      <c r="AN711" s="5"/>
      <c r="AO711" s="14"/>
      <c r="AP711" s="4"/>
    </row>
    <row r="712" spans="18:42">
      <c r="R712" s="9"/>
      <c r="AJ712" s="10"/>
      <c r="AK712" s="8"/>
      <c r="AM712" s="5"/>
      <c r="AN712" s="5"/>
      <c r="AO712" s="14"/>
      <c r="AP712" s="4"/>
    </row>
    <row r="713" spans="18:42">
      <c r="R713" s="9"/>
      <c r="AJ713" s="10"/>
      <c r="AK713" s="8"/>
      <c r="AM713" s="5"/>
      <c r="AN713" s="5"/>
      <c r="AO713" s="14"/>
      <c r="AP713" s="4"/>
    </row>
    <row r="714" spans="18:42">
      <c r="R714" s="9"/>
      <c r="AJ714" s="10"/>
      <c r="AK714" s="8"/>
      <c r="AM714" s="5"/>
      <c r="AN714" s="5"/>
      <c r="AO714" s="14"/>
      <c r="AP714" s="4"/>
    </row>
    <row r="715" spans="18:42">
      <c r="R715" s="9"/>
      <c r="AJ715" s="10"/>
      <c r="AK715" s="8"/>
      <c r="AM715" s="5"/>
      <c r="AN715" s="5"/>
      <c r="AO715" s="14"/>
      <c r="AP715" s="4"/>
    </row>
    <row r="716" spans="18:42">
      <c r="R716" s="9"/>
      <c r="AJ716" s="10"/>
      <c r="AK716" s="8"/>
      <c r="AM716" s="5"/>
      <c r="AN716" s="5"/>
      <c r="AO716" s="14"/>
      <c r="AP716" s="4"/>
    </row>
    <row r="717" spans="18:42">
      <c r="R717" s="9"/>
      <c r="AJ717" s="10"/>
      <c r="AK717" s="8"/>
      <c r="AM717" s="5"/>
      <c r="AN717" s="5"/>
      <c r="AO717" s="14"/>
      <c r="AP717" s="4"/>
    </row>
    <row r="718" spans="18:42">
      <c r="R718" s="9"/>
      <c r="AJ718" s="10"/>
      <c r="AK718" s="8"/>
      <c r="AM718" s="5"/>
      <c r="AN718" s="5"/>
      <c r="AO718" s="14"/>
      <c r="AP718" s="4"/>
    </row>
    <row r="719" spans="18:42">
      <c r="R719" s="9"/>
      <c r="AJ719" s="10"/>
      <c r="AK719" s="8"/>
      <c r="AM719" s="5"/>
      <c r="AN719" s="5"/>
      <c r="AO719" s="14"/>
      <c r="AP719" s="4"/>
    </row>
    <row r="720" spans="18:42">
      <c r="R720" s="9"/>
      <c r="AJ720" s="10"/>
      <c r="AK720" s="8"/>
      <c r="AM720" s="5"/>
      <c r="AN720" s="5"/>
      <c r="AO720" s="14"/>
      <c r="AP720" s="4"/>
    </row>
    <row r="721" spans="18:42">
      <c r="R721" s="9"/>
      <c r="AJ721" s="10"/>
      <c r="AK721" s="8"/>
      <c r="AM721" s="5"/>
      <c r="AN721" s="5"/>
      <c r="AO721" s="14"/>
      <c r="AP721" s="4"/>
    </row>
    <row r="722" spans="18:42">
      <c r="R722" s="9"/>
      <c r="AJ722" s="10"/>
      <c r="AK722" s="8"/>
      <c r="AM722" s="5"/>
      <c r="AN722" s="5"/>
      <c r="AO722" s="14"/>
      <c r="AP722" s="4"/>
    </row>
    <row r="723" spans="18:42">
      <c r="R723" s="9"/>
      <c r="AJ723" s="10"/>
      <c r="AK723" s="8"/>
      <c r="AM723" s="5"/>
      <c r="AN723" s="5"/>
      <c r="AO723" s="14"/>
      <c r="AP723" s="4"/>
    </row>
    <row r="724" spans="18:42">
      <c r="R724" s="9"/>
      <c r="AJ724" s="10"/>
      <c r="AK724" s="8"/>
      <c r="AM724" s="5"/>
      <c r="AN724" s="5"/>
      <c r="AO724" s="14"/>
      <c r="AP724" s="4"/>
    </row>
    <row r="725" spans="18:42">
      <c r="R725" s="9"/>
      <c r="AJ725" s="10"/>
      <c r="AK725" s="8"/>
      <c r="AM725" s="5"/>
      <c r="AN725" s="5"/>
      <c r="AO725" s="14"/>
      <c r="AP725" s="4"/>
    </row>
    <row r="726" spans="18:42">
      <c r="R726" s="9"/>
      <c r="AJ726" s="10"/>
      <c r="AK726" s="8"/>
      <c r="AM726" s="5"/>
      <c r="AN726" s="5"/>
      <c r="AO726" s="14"/>
      <c r="AP726" s="4"/>
    </row>
    <row r="727" spans="18:42">
      <c r="R727" s="9"/>
      <c r="AJ727" s="10"/>
      <c r="AK727" s="8"/>
      <c r="AM727" s="5"/>
      <c r="AN727" s="5"/>
      <c r="AO727" s="14"/>
      <c r="AP727" s="4"/>
    </row>
    <row r="728" spans="18:42">
      <c r="R728" s="9"/>
      <c r="AJ728" s="10"/>
      <c r="AK728" s="8"/>
      <c r="AM728" s="5"/>
      <c r="AN728" s="5"/>
      <c r="AO728" s="14"/>
      <c r="AP728" s="4"/>
    </row>
    <row r="729" spans="18:42">
      <c r="R729" s="9"/>
      <c r="AJ729" s="10"/>
      <c r="AK729" s="8"/>
      <c r="AM729" s="5"/>
      <c r="AN729" s="5"/>
      <c r="AO729" s="14"/>
      <c r="AP729" s="4"/>
    </row>
    <row r="730" spans="18:42">
      <c r="R730" s="9"/>
      <c r="AJ730" s="10"/>
      <c r="AK730" s="8"/>
      <c r="AM730" s="5"/>
      <c r="AN730" s="5"/>
      <c r="AO730" s="14"/>
      <c r="AP730" s="4"/>
    </row>
    <row r="731" spans="18:42">
      <c r="R731" s="9"/>
      <c r="AJ731" s="10"/>
      <c r="AK731" s="8"/>
      <c r="AM731" s="5"/>
      <c r="AN731" s="5"/>
      <c r="AO731" s="14"/>
      <c r="AP731" s="4"/>
    </row>
    <row r="732" spans="18:42">
      <c r="R732" s="9"/>
      <c r="AJ732" s="10"/>
      <c r="AK732" s="8"/>
      <c r="AM732" s="5"/>
      <c r="AN732" s="5"/>
      <c r="AO732" s="14"/>
      <c r="AP732" s="4"/>
    </row>
    <row r="733" spans="18:42">
      <c r="R733" s="9"/>
      <c r="AJ733" s="10"/>
      <c r="AK733" s="8"/>
      <c r="AM733" s="5"/>
      <c r="AN733" s="5"/>
      <c r="AO733" s="14"/>
      <c r="AP733" s="4"/>
    </row>
    <row r="734" spans="18:42">
      <c r="R734" s="9"/>
      <c r="AJ734" s="10"/>
      <c r="AK734" s="8"/>
      <c r="AM734" s="5"/>
      <c r="AN734" s="5"/>
      <c r="AO734" s="14"/>
      <c r="AP734" s="4"/>
    </row>
    <row r="735" spans="18:42">
      <c r="R735" s="9"/>
      <c r="AJ735" s="10"/>
      <c r="AK735" s="8"/>
      <c r="AM735" s="5"/>
      <c r="AN735" s="5"/>
      <c r="AO735" s="14"/>
      <c r="AP735" s="4"/>
    </row>
    <row r="736" spans="18:42">
      <c r="R736" s="9"/>
      <c r="AJ736" s="10"/>
      <c r="AK736" s="8"/>
      <c r="AM736" s="5"/>
      <c r="AN736" s="5"/>
      <c r="AO736" s="14"/>
      <c r="AP736" s="4"/>
    </row>
    <row r="737" spans="18:42">
      <c r="R737" s="9"/>
      <c r="AJ737" s="10"/>
      <c r="AK737" s="8"/>
      <c r="AM737" s="5"/>
      <c r="AN737" s="5"/>
      <c r="AO737" s="14"/>
      <c r="AP737" s="4"/>
    </row>
    <row r="738" spans="18:42">
      <c r="R738" s="9"/>
      <c r="AJ738" s="10"/>
      <c r="AK738" s="8"/>
      <c r="AM738" s="5"/>
      <c r="AN738" s="5"/>
      <c r="AO738" s="14"/>
      <c r="AP738" s="4"/>
    </row>
    <row r="739" spans="18:42">
      <c r="R739" s="9"/>
      <c r="AJ739" s="10"/>
      <c r="AK739" s="8"/>
      <c r="AM739" s="5"/>
      <c r="AN739" s="5"/>
      <c r="AO739" s="14"/>
      <c r="AP739" s="4"/>
    </row>
    <row r="740" spans="18:42">
      <c r="R740" s="9"/>
      <c r="AJ740" s="10"/>
      <c r="AK740" s="8"/>
      <c r="AM740" s="5"/>
      <c r="AN740" s="5"/>
      <c r="AO740" s="14"/>
      <c r="AP740" s="4"/>
    </row>
    <row r="741" spans="18:42">
      <c r="R741" s="9"/>
      <c r="AJ741" s="10"/>
      <c r="AK741" s="8"/>
      <c r="AM741" s="5"/>
      <c r="AN741" s="5"/>
      <c r="AO741" s="14"/>
      <c r="AP741" s="4"/>
    </row>
    <row r="742" spans="18:42">
      <c r="R742" s="9"/>
      <c r="AJ742" s="10"/>
      <c r="AK742" s="8"/>
      <c r="AM742" s="5"/>
      <c r="AN742" s="5"/>
      <c r="AO742" s="14"/>
      <c r="AP742" s="4"/>
    </row>
    <row r="743" spans="18:42">
      <c r="R743" s="9"/>
      <c r="AJ743" s="10"/>
      <c r="AK743" s="8"/>
      <c r="AM743" s="5"/>
      <c r="AN743" s="5"/>
      <c r="AO743" s="14"/>
      <c r="AP743" s="4"/>
    </row>
    <row r="744" spans="18:42">
      <c r="R744" s="9"/>
      <c r="AJ744" s="10"/>
      <c r="AK744" s="8"/>
      <c r="AM744" s="5"/>
      <c r="AN744" s="5"/>
      <c r="AO744" s="14"/>
      <c r="AP744" s="4"/>
    </row>
    <row r="745" spans="18:42">
      <c r="R745" s="9"/>
      <c r="AJ745" s="10"/>
      <c r="AK745" s="8"/>
      <c r="AM745" s="5"/>
      <c r="AN745" s="5"/>
      <c r="AO745" s="14"/>
      <c r="AP745" s="4"/>
    </row>
    <row r="746" spans="18:42">
      <c r="R746" s="9"/>
      <c r="AJ746" s="10"/>
      <c r="AK746" s="8"/>
      <c r="AM746" s="5"/>
      <c r="AN746" s="5"/>
      <c r="AO746" s="14"/>
      <c r="AP746" s="4"/>
    </row>
    <row r="747" spans="18:42">
      <c r="R747" s="9"/>
      <c r="AJ747" s="10"/>
      <c r="AK747" s="8"/>
      <c r="AM747" s="5"/>
      <c r="AN747" s="5"/>
      <c r="AO747" s="14"/>
      <c r="AP747" s="4"/>
    </row>
    <row r="748" spans="18:42">
      <c r="R748" s="9"/>
      <c r="AJ748" s="10"/>
      <c r="AK748" s="8"/>
      <c r="AM748" s="5"/>
      <c r="AN748" s="5"/>
      <c r="AO748" s="14"/>
      <c r="AP748" s="4"/>
    </row>
    <row r="749" spans="18:42">
      <c r="R749" s="9"/>
      <c r="AJ749" s="10"/>
      <c r="AK749" s="8"/>
      <c r="AM749" s="5"/>
      <c r="AN749" s="5"/>
      <c r="AO749" s="14"/>
      <c r="AP749" s="4"/>
    </row>
    <row r="750" spans="18:42">
      <c r="R750" s="9"/>
      <c r="AJ750" s="10"/>
      <c r="AK750" s="8"/>
      <c r="AM750" s="5"/>
      <c r="AN750" s="5"/>
      <c r="AO750" s="14"/>
      <c r="AP750" s="4"/>
    </row>
    <row r="751" spans="18:42">
      <c r="R751" s="9"/>
      <c r="AJ751" s="10"/>
      <c r="AK751" s="8"/>
      <c r="AM751" s="5"/>
      <c r="AN751" s="5"/>
      <c r="AO751" s="14"/>
      <c r="AP751" s="4"/>
    </row>
    <row r="752" spans="18:42">
      <c r="R752" s="9"/>
      <c r="AJ752" s="10"/>
      <c r="AK752" s="8"/>
      <c r="AM752" s="5"/>
      <c r="AN752" s="5"/>
      <c r="AO752" s="14"/>
      <c r="AP752" s="4"/>
    </row>
    <row r="753" spans="18:42">
      <c r="R753" s="9"/>
      <c r="AJ753" s="10"/>
      <c r="AK753" s="8"/>
      <c r="AM753" s="5"/>
      <c r="AN753" s="5"/>
      <c r="AO753" s="14"/>
      <c r="AP753" s="4"/>
    </row>
    <row r="754" spans="18:42">
      <c r="R754" s="9"/>
      <c r="AJ754" s="10"/>
      <c r="AK754" s="8"/>
      <c r="AM754" s="5"/>
      <c r="AN754" s="5"/>
      <c r="AO754" s="14"/>
      <c r="AP754" s="4"/>
    </row>
    <row r="755" spans="18:42">
      <c r="R755" s="9"/>
      <c r="AJ755" s="10"/>
      <c r="AK755" s="8"/>
      <c r="AM755" s="5"/>
      <c r="AN755" s="5"/>
      <c r="AO755" s="14"/>
      <c r="AP755" s="4"/>
    </row>
    <row r="756" spans="18:42">
      <c r="R756" s="9"/>
      <c r="AJ756" s="10"/>
      <c r="AK756" s="8"/>
      <c r="AM756" s="5"/>
      <c r="AN756" s="5"/>
      <c r="AO756" s="14"/>
      <c r="AP756" s="4"/>
    </row>
    <row r="757" spans="18:42">
      <c r="R757" s="9"/>
      <c r="AJ757" s="10"/>
      <c r="AK757" s="8"/>
      <c r="AM757" s="5"/>
      <c r="AN757" s="5"/>
      <c r="AO757" s="14"/>
      <c r="AP757" s="4"/>
    </row>
    <row r="758" spans="18:42">
      <c r="R758" s="9"/>
      <c r="AJ758" s="10"/>
      <c r="AK758" s="8"/>
      <c r="AM758" s="5"/>
      <c r="AN758" s="5"/>
      <c r="AO758" s="14"/>
      <c r="AP758" s="4"/>
    </row>
    <row r="759" spans="18:42">
      <c r="R759" s="9"/>
      <c r="AJ759" s="10"/>
      <c r="AK759" s="8"/>
      <c r="AM759" s="5"/>
      <c r="AN759" s="5"/>
      <c r="AO759" s="14"/>
      <c r="AP759" s="4"/>
    </row>
    <row r="760" spans="18:42">
      <c r="R760" s="9"/>
      <c r="AJ760" s="10"/>
      <c r="AK760" s="8"/>
      <c r="AM760" s="5"/>
      <c r="AN760" s="5"/>
      <c r="AO760" s="14"/>
      <c r="AP760" s="4"/>
    </row>
    <row r="761" spans="18:42">
      <c r="R761" s="9"/>
      <c r="AJ761" s="10"/>
      <c r="AK761" s="8"/>
      <c r="AM761" s="5"/>
      <c r="AN761" s="5"/>
      <c r="AO761" s="14"/>
      <c r="AP761" s="4"/>
    </row>
    <row r="762" spans="18:42">
      <c r="R762" s="9"/>
      <c r="AJ762" s="10"/>
      <c r="AK762" s="8"/>
      <c r="AM762" s="5"/>
      <c r="AN762" s="5"/>
      <c r="AO762" s="14"/>
      <c r="AP762" s="4"/>
    </row>
    <row r="763" spans="18:42">
      <c r="R763" s="9"/>
      <c r="AJ763" s="10"/>
      <c r="AK763" s="8"/>
      <c r="AM763" s="5"/>
      <c r="AN763" s="5"/>
      <c r="AO763" s="14"/>
      <c r="AP763" s="4"/>
    </row>
    <row r="764" spans="18:42">
      <c r="R764" s="9"/>
      <c r="AJ764" s="10"/>
      <c r="AK764" s="8"/>
      <c r="AM764" s="5"/>
      <c r="AN764" s="5"/>
      <c r="AO764" s="14"/>
      <c r="AP764" s="4"/>
    </row>
    <row r="765" spans="18:42">
      <c r="R765" s="9"/>
      <c r="AJ765" s="10"/>
      <c r="AK765" s="8"/>
      <c r="AM765" s="5"/>
      <c r="AN765" s="5"/>
      <c r="AO765" s="14"/>
      <c r="AP765" s="4"/>
    </row>
    <row r="766" spans="18:42">
      <c r="R766" s="9"/>
      <c r="AJ766" s="10"/>
      <c r="AK766" s="8"/>
      <c r="AM766" s="5"/>
      <c r="AN766" s="5"/>
      <c r="AO766" s="14"/>
      <c r="AP766" s="4"/>
    </row>
    <row r="767" spans="18:42">
      <c r="R767" s="9"/>
      <c r="AJ767" s="10"/>
      <c r="AK767" s="8"/>
      <c r="AM767" s="5"/>
      <c r="AN767" s="5"/>
      <c r="AO767" s="14"/>
      <c r="AP767" s="4"/>
    </row>
    <row r="768" spans="18:42">
      <c r="R768" s="9"/>
      <c r="AJ768" s="10"/>
      <c r="AK768" s="8"/>
      <c r="AM768" s="5"/>
      <c r="AN768" s="5"/>
      <c r="AO768" s="14"/>
      <c r="AP768" s="4"/>
    </row>
    <row r="769" spans="18:42">
      <c r="R769" s="9"/>
      <c r="AJ769" s="10"/>
      <c r="AK769" s="8"/>
      <c r="AM769" s="5"/>
      <c r="AN769" s="5"/>
      <c r="AO769" s="14"/>
      <c r="AP769" s="4"/>
    </row>
    <row r="770" spans="18:42">
      <c r="R770" s="9"/>
      <c r="AJ770" s="10"/>
      <c r="AK770" s="8"/>
      <c r="AM770" s="5"/>
      <c r="AN770" s="5"/>
      <c r="AO770" s="14"/>
      <c r="AP770" s="4"/>
    </row>
    <row r="771" spans="18:42">
      <c r="R771" s="9"/>
      <c r="AJ771" s="10"/>
      <c r="AK771" s="8"/>
      <c r="AM771" s="5"/>
      <c r="AN771" s="5"/>
      <c r="AO771" s="14"/>
      <c r="AP771" s="4"/>
    </row>
    <row r="772" spans="18:42">
      <c r="R772" s="9"/>
      <c r="AJ772" s="10"/>
      <c r="AK772" s="8"/>
      <c r="AM772" s="5"/>
      <c r="AN772" s="5"/>
      <c r="AO772" s="14"/>
      <c r="AP772" s="4"/>
    </row>
    <row r="773" spans="18:42">
      <c r="R773" s="9"/>
      <c r="AJ773" s="10"/>
      <c r="AK773" s="8"/>
      <c r="AM773" s="5"/>
      <c r="AN773" s="5"/>
      <c r="AO773" s="14"/>
      <c r="AP773" s="4"/>
    </row>
    <row r="774" spans="18:42">
      <c r="R774" s="9"/>
      <c r="AJ774" s="10"/>
      <c r="AK774" s="8"/>
      <c r="AM774" s="5"/>
      <c r="AN774" s="5"/>
      <c r="AO774" s="14"/>
      <c r="AP774" s="4"/>
    </row>
    <row r="775" spans="18:42">
      <c r="R775" s="9"/>
      <c r="AJ775" s="10"/>
      <c r="AK775" s="8"/>
      <c r="AM775" s="5"/>
      <c r="AN775" s="5"/>
      <c r="AO775" s="14"/>
      <c r="AP775" s="4"/>
    </row>
    <row r="776" spans="18:42">
      <c r="R776" s="9"/>
      <c r="AJ776" s="10"/>
      <c r="AK776" s="8"/>
      <c r="AM776" s="5"/>
      <c r="AN776" s="5"/>
      <c r="AO776" s="14"/>
      <c r="AP776" s="4"/>
    </row>
    <row r="777" spans="18:42">
      <c r="R777" s="9"/>
      <c r="AJ777" s="10"/>
      <c r="AK777" s="8"/>
      <c r="AM777" s="5"/>
      <c r="AN777" s="5"/>
      <c r="AO777" s="14"/>
      <c r="AP777" s="4"/>
    </row>
    <row r="778" spans="18:42">
      <c r="R778" s="9"/>
      <c r="AJ778" s="10"/>
      <c r="AK778" s="8"/>
      <c r="AM778" s="5"/>
      <c r="AN778" s="5"/>
      <c r="AO778" s="14"/>
      <c r="AP778" s="4"/>
    </row>
    <row r="779" spans="18:42">
      <c r="R779" s="9"/>
      <c r="AJ779" s="10"/>
      <c r="AK779" s="8"/>
      <c r="AM779" s="5"/>
      <c r="AN779" s="5"/>
      <c r="AO779" s="14"/>
      <c r="AP779" s="4"/>
    </row>
    <row r="780" spans="18:42">
      <c r="R780" s="9"/>
      <c r="AJ780" s="10"/>
      <c r="AK780" s="8"/>
      <c r="AM780" s="5"/>
      <c r="AN780" s="5"/>
      <c r="AO780" s="14"/>
      <c r="AP780" s="4"/>
    </row>
    <row r="781" spans="18:42">
      <c r="R781" s="9"/>
      <c r="AJ781" s="10"/>
      <c r="AK781" s="8"/>
      <c r="AM781" s="5"/>
      <c r="AN781" s="5"/>
      <c r="AO781" s="14"/>
      <c r="AP781" s="4"/>
    </row>
    <row r="782" spans="18:42">
      <c r="R782" s="9"/>
      <c r="AJ782" s="10"/>
      <c r="AK782" s="8"/>
      <c r="AM782" s="5"/>
      <c r="AN782" s="5"/>
      <c r="AO782" s="14"/>
      <c r="AP782" s="4"/>
    </row>
    <row r="783" spans="18:42">
      <c r="R783" s="9"/>
      <c r="AJ783" s="10"/>
      <c r="AK783" s="8"/>
      <c r="AM783" s="5"/>
      <c r="AN783" s="5"/>
      <c r="AO783" s="14"/>
      <c r="AP783" s="4"/>
    </row>
    <row r="784" spans="18:42">
      <c r="R784" s="9"/>
      <c r="AJ784" s="10"/>
      <c r="AK784" s="8"/>
      <c r="AM784" s="5"/>
      <c r="AN784" s="5"/>
      <c r="AO784" s="14"/>
      <c r="AP784" s="4"/>
    </row>
    <row r="785" spans="18:42">
      <c r="R785" s="9"/>
      <c r="AJ785" s="10"/>
      <c r="AK785" s="8"/>
      <c r="AM785" s="5"/>
      <c r="AN785" s="5"/>
      <c r="AO785" s="14"/>
      <c r="AP785" s="4"/>
    </row>
    <row r="786" spans="18:42">
      <c r="R786" s="9"/>
      <c r="AJ786" s="10"/>
      <c r="AK786" s="8"/>
      <c r="AM786" s="5"/>
      <c r="AN786" s="5"/>
      <c r="AO786" s="14"/>
      <c r="AP786" s="4"/>
    </row>
    <row r="787" spans="18:42">
      <c r="R787" s="9"/>
      <c r="AJ787" s="10"/>
      <c r="AK787" s="8"/>
      <c r="AM787" s="5"/>
      <c r="AN787" s="5"/>
      <c r="AO787" s="14"/>
      <c r="AP787" s="4"/>
    </row>
    <row r="788" spans="18:42">
      <c r="R788" s="9"/>
      <c r="AJ788" s="10"/>
      <c r="AK788" s="8"/>
      <c r="AM788" s="5"/>
      <c r="AN788" s="5"/>
      <c r="AO788" s="14"/>
      <c r="AP788" s="4"/>
    </row>
    <row r="789" spans="18:42">
      <c r="R789" s="9"/>
      <c r="AJ789" s="10"/>
      <c r="AK789" s="8"/>
      <c r="AM789" s="5"/>
      <c r="AN789" s="5"/>
      <c r="AO789" s="14"/>
      <c r="AP789" s="4"/>
    </row>
    <row r="790" spans="18:42">
      <c r="R790" s="9"/>
      <c r="AJ790" s="10"/>
      <c r="AK790" s="8"/>
      <c r="AM790" s="5"/>
      <c r="AN790" s="5"/>
      <c r="AO790" s="14"/>
      <c r="AP790" s="4"/>
    </row>
    <row r="791" spans="18:42">
      <c r="R791" s="9"/>
      <c r="AJ791" s="10"/>
      <c r="AK791" s="8"/>
      <c r="AM791" s="5"/>
      <c r="AN791" s="5"/>
      <c r="AO791" s="14"/>
      <c r="AP791" s="4"/>
    </row>
    <row r="792" spans="18:42">
      <c r="R792" s="9"/>
      <c r="AJ792" s="10"/>
      <c r="AK792" s="8"/>
      <c r="AM792" s="5"/>
      <c r="AN792" s="5"/>
      <c r="AO792" s="14"/>
      <c r="AP792" s="4"/>
    </row>
    <row r="793" spans="18:42">
      <c r="R793" s="9"/>
      <c r="AJ793" s="10"/>
      <c r="AK793" s="8"/>
      <c r="AM793" s="5"/>
      <c r="AN793" s="5"/>
      <c r="AO793" s="14"/>
      <c r="AP793" s="4"/>
    </row>
    <row r="794" spans="18:42">
      <c r="R794" s="9"/>
      <c r="AJ794" s="10"/>
      <c r="AK794" s="8"/>
      <c r="AM794" s="5"/>
      <c r="AN794" s="5"/>
      <c r="AO794" s="14"/>
      <c r="AP794" s="4"/>
    </row>
    <row r="795" spans="18:42">
      <c r="R795" s="9"/>
      <c r="AJ795" s="10"/>
      <c r="AK795" s="8"/>
      <c r="AM795" s="5"/>
      <c r="AN795" s="5"/>
      <c r="AO795" s="14"/>
      <c r="AP795" s="4"/>
    </row>
    <row r="796" spans="18:42">
      <c r="R796" s="9"/>
      <c r="AJ796" s="10"/>
      <c r="AK796" s="8"/>
      <c r="AM796" s="5"/>
      <c r="AN796" s="5"/>
      <c r="AO796" s="14"/>
      <c r="AP796" s="4"/>
    </row>
    <row r="797" spans="18:42">
      <c r="R797" s="9"/>
      <c r="AJ797" s="10"/>
      <c r="AK797" s="8"/>
      <c r="AM797" s="5"/>
      <c r="AN797" s="5"/>
      <c r="AO797" s="14"/>
      <c r="AP797" s="4"/>
    </row>
    <row r="798" spans="18:42">
      <c r="R798" s="9"/>
      <c r="AJ798" s="10"/>
      <c r="AK798" s="8"/>
      <c r="AM798" s="5"/>
      <c r="AN798" s="5"/>
      <c r="AO798" s="14"/>
      <c r="AP798" s="4"/>
    </row>
    <row r="799" spans="18:42">
      <c r="R799" s="9"/>
      <c r="AJ799" s="10"/>
      <c r="AK799" s="8"/>
      <c r="AM799" s="5"/>
      <c r="AN799" s="5"/>
      <c r="AO799" s="14"/>
      <c r="AP799" s="4"/>
    </row>
    <row r="800" spans="18:42">
      <c r="R800" s="9"/>
      <c r="AJ800" s="10"/>
      <c r="AK800" s="8"/>
      <c r="AM800" s="5"/>
      <c r="AN800" s="5"/>
      <c r="AO800" s="14"/>
      <c r="AP800" s="4"/>
    </row>
    <row r="801" spans="18:42">
      <c r="R801" s="9"/>
      <c r="AJ801" s="10"/>
      <c r="AK801" s="8"/>
      <c r="AM801" s="5"/>
      <c r="AN801" s="5"/>
      <c r="AO801" s="14"/>
      <c r="AP801" s="4"/>
    </row>
    <row r="802" spans="18:42">
      <c r="R802" s="9"/>
      <c r="AJ802" s="10"/>
      <c r="AK802" s="8"/>
      <c r="AM802" s="5"/>
      <c r="AN802" s="5"/>
      <c r="AO802" s="14"/>
      <c r="AP802" s="4"/>
    </row>
    <row r="803" spans="18:42">
      <c r="R803" s="9"/>
      <c r="AJ803" s="10"/>
      <c r="AK803" s="8"/>
      <c r="AM803" s="5"/>
      <c r="AN803" s="5"/>
      <c r="AO803" s="14"/>
      <c r="AP803" s="4"/>
    </row>
    <row r="804" spans="18:42">
      <c r="R804" s="9"/>
      <c r="AJ804" s="10"/>
      <c r="AK804" s="8"/>
      <c r="AM804" s="5"/>
      <c r="AN804" s="5"/>
      <c r="AO804" s="14"/>
      <c r="AP804" s="4"/>
    </row>
    <row r="805" spans="18:42">
      <c r="R805" s="9"/>
      <c r="AJ805" s="10"/>
      <c r="AK805" s="8"/>
      <c r="AM805" s="5"/>
      <c r="AN805" s="5"/>
      <c r="AO805" s="14"/>
      <c r="AP805" s="4"/>
    </row>
    <row r="806" spans="18:42">
      <c r="R806" s="9"/>
      <c r="AJ806" s="10"/>
      <c r="AK806" s="8"/>
      <c r="AM806" s="5"/>
      <c r="AN806" s="5"/>
      <c r="AO806" s="14"/>
      <c r="AP806" s="4"/>
    </row>
    <row r="807" spans="18:42">
      <c r="R807" s="9"/>
      <c r="AJ807" s="10"/>
      <c r="AK807" s="8"/>
      <c r="AM807" s="5"/>
      <c r="AN807" s="5"/>
      <c r="AO807" s="14"/>
      <c r="AP807" s="4"/>
    </row>
    <row r="808" spans="18:42">
      <c r="R808" s="9"/>
      <c r="AJ808" s="10"/>
      <c r="AK808" s="8"/>
      <c r="AM808" s="5"/>
      <c r="AN808" s="5"/>
      <c r="AO808" s="14"/>
      <c r="AP808" s="4"/>
    </row>
    <row r="809" spans="18:42">
      <c r="R809" s="9"/>
      <c r="AJ809" s="10"/>
      <c r="AK809" s="8"/>
      <c r="AM809" s="5"/>
      <c r="AN809" s="5"/>
      <c r="AO809" s="14"/>
      <c r="AP809" s="4"/>
    </row>
    <row r="810" spans="18:42">
      <c r="R810" s="9"/>
      <c r="AJ810" s="10"/>
      <c r="AK810" s="8"/>
      <c r="AM810" s="5"/>
      <c r="AN810" s="5"/>
      <c r="AO810" s="14"/>
      <c r="AP810" s="4"/>
    </row>
    <row r="811" spans="18:42">
      <c r="R811" s="9"/>
      <c r="AJ811" s="10"/>
      <c r="AK811" s="8"/>
      <c r="AM811" s="5"/>
      <c r="AN811" s="5"/>
      <c r="AO811" s="14"/>
      <c r="AP811" s="4"/>
    </row>
    <row r="812" spans="18:42">
      <c r="R812" s="9"/>
      <c r="AJ812" s="10"/>
      <c r="AK812" s="8"/>
      <c r="AM812" s="5"/>
      <c r="AN812" s="5"/>
      <c r="AO812" s="14"/>
      <c r="AP812" s="4"/>
    </row>
    <row r="813" spans="18:42">
      <c r="R813" s="9"/>
      <c r="AJ813" s="10"/>
      <c r="AK813" s="8"/>
      <c r="AM813" s="5"/>
      <c r="AN813" s="5"/>
      <c r="AO813" s="14"/>
      <c r="AP813" s="4"/>
    </row>
    <row r="814" spans="18:42">
      <c r="R814" s="9"/>
      <c r="AJ814" s="10"/>
      <c r="AK814" s="8"/>
      <c r="AM814" s="5"/>
      <c r="AN814" s="5"/>
      <c r="AO814" s="14"/>
      <c r="AP814" s="4"/>
    </row>
    <row r="815" spans="18:42">
      <c r="R815" s="9"/>
      <c r="AJ815" s="10"/>
      <c r="AK815" s="8"/>
      <c r="AM815" s="5"/>
      <c r="AN815" s="5"/>
      <c r="AO815" s="14"/>
      <c r="AP815" s="4"/>
    </row>
    <row r="816" spans="18:42">
      <c r="R816" s="9"/>
      <c r="AJ816" s="10"/>
      <c r="AK816" s="8"/>
      <c r="AM816" s="5"/>
      <c r="AN816" s="5"/>
      <c r="AO816" s="14"/>
      <c r="AP816" s="4"/>
    </row>
    <row r="817" spans="18:42">
      <c r="R817" s="9"/>
      <c r="AJ817" s="10"/>
      <c r="AK817" s="8"/>
      <c r="AM817" s="5"/>
      <c r="AN817" s="5"/>
      <c r="AO817" s="14"/>
      <c r="AP817" s="4"/>
    </row>
    <row r="818" spans="18:42">
      <c r="R818" s="9"/>
      <c r="AJ818" s="10"/>
      <c r="AK818" s="8"/>
      <c r="AM818" s="5"/>
      <c r="AN818" s="5"/>
      <c r="AO818" s="14"/>
      <c r="AP818" s="4"/>
    </row>
    <row r="819" spans="18:42">
      <c r="R819" s="9"/>
      <c r="AJ819" s="10"/>
      <c r="AK819" s="8"/>
      <c r="AM819" s="5"/>
      <c r="AN819" s="5"/>
      <c r="AO819" s="14"/>
      <c r="AP819" s="4"/>
    </row>
    <row r="820" spans="18:42">
      <c r="R820" s="9"/>
      <c r="AJ820" s="10"/>
      <c r="AK820" s="8"/>
      <c r="AM820" s="5"/>
      <c r="AN820" s="5"/>
      <c r="AO820" s="14"/>
      <c r="AP820" s="4"/>
    </row>
    <row r="821" spans="18:42">
      <c r="R821" s="9"/>
      <c r="AJ821" s="10"/>
      <c r="AK821" s="8"/>
      <c r="AM821" s="5"/>
      <c r="AN821" s="5"/>
      <c r="AO821" s="14"/>
      <c r="AP821" s="4"/>
    </row>
    <row r="822" spans="18:42">
      <c r="R822" s="9"/>
      <c r="AJ822" s="10"/>
      <c r="AK822" s="8"/>
      <c r="AM822" s="5"/>
      <c r="AN822" s="5"/>
      <c r="AO822" s="14"/>
      <c r="AP822" s="4"/>
    </row>
    <row r="823" spans="18:42">
      <c r="R823" s="9"/>
      <c r="AJ823" s="10"/>
      <c r="AK823" s="8"/>
      <c r="AM823" s="5"/>
      <c r="AN823" s="5"/>
      <c r="AO823" s="14"/>
      <c r="AP823" s="4"/>
    </row>
    <row r="824" spans="18:42">
      <c r="R824" s="9"/>
      <c r="AJ824" s="10"/>
      <c r="AK824" s="8"/>
      <c r="AM824" s="5"/>
      <c r="AN824" s="5"/>
      <c r="AO824" s="14"/>
      <c r="AP824" s="4"/>
    </row>
    <row r="825" spans="18:42">
      <c r="R825" s="9"/>
      <c r="AJ825" s="10"/>
      <c r="AK825" s="8"/>
      <c r="AM825" s="5"/>
      <c r="AN825" s="5"/>
      <c r="AO825" s="14"/>
      <c r="AP825" s="4"/>
    </row>
    <row r="826" spans="18:42">
      <c r="R826" s="9"/>
      <c r="AJ826" s="10"/>
      <c r="AK826" s="8"/>
      <c r="AM826" s="5"/>
      <c r="AN826" s="5"/>
      <c r="AO826" s="14"/>
      <c r="AP826" s="4"/>
    </row>
    <row r="827" spans="18:42">
      <c r="R827" s="9"/>
      <c r="AJ827" s="10"/>
      <c r="AK827" s="8"/>
      <c r="AM827" s="5"/>
      <c r="AN827" s="5"/>
      <c r="AO827" s="14"/>
      <c r="AP827" s="4"/>
    </row>
    <row r="828" spans="18:42">
      <c r="R828" s="9"/>
      <c r="AJ828" s="10"/>
      <c r="AK828" s="8"/>
      <c r="AM828" s="5"/>
      <c r="AN828" s="5"/>
      <c r="AO828" s="14"/>
      <c r="AP828" s="4"/>
    </row>
    <row r="829" spans="18:42">
      <c r="R829" s="9"/>
      <c r="AJ829" s="10"/>
      <c r="AK829" s="8"/>
      <c r="AM829" s="5"/>
      <c r="AN829" s="5"/>
      <c r="AO829" s="14"/>
      <c r="AP829" s="4"/>
    </row>
    <row r="830" spans="18:42">
      <c r="R830" s="9"/>
      <c r="AJ830" s="10"/>
      <c r="AK830" s="8"/>
      <c r="AM830" s="5"/>
      <c r="AN830" s="5"/>
      <c r="AO830" s="14"/>
      <c r="AP830" s="4"/>
    </row>
    <row r="831" spans="18:42">
      <c r="R831" s="9"/>
      <c r="AJ831" s="10"/>
      <c r="AK831" s="8"/>
      <c r="AM831" s="5"/>
      <c r="AN831" s="5"/>
      <c r="AO831" s="14"/>
      <c r="AP831" s="4"/>
    </row>
    <row r="832" spans="18:42">
      <c r="R832" s="9"/>
      <c r="AJ832" s="10"/>
      <c r="AK832" s="8"/>
      <c r="AM832" s="5"/>
      <c r="AN832" s="5"/>
      <c r="AO832" s="14"/>
      <c r="AP832" s="4"/>
    </row>
    <row r="833" spans="18:42" ht="2.4500000000000002" customHeight="1">
      <c r="R833" s="9"/>
      <c r="AJ833" s="10"/>
      <c r="AK833" s="8"/>
      <c r="AM833" s="5"/>
      <c r="AN833" s="5"/>
      <c r="AO833" s="14"/>
      <c r="AP833" s="4"/>
    </row>
    <row r="834" spans="18:42">
      <c r="R834" s="9"/>
      <c r="AJ834" s="10"/>
      <c r="AK834" s="8"/>
      <c r="AM834" s="5"/>
      <c r="AN834" s="5"/>
      <c r="AO834" s="14"/>
      <c r="AP834" s="4"/>
    </row>
    <row r="835" spans="18:42">
      <c r="R835" s="9"/>
      <c r="AJ835" s="10"/>
      <c r="AK835" s="8"/>
      <c r="AM835" s="5"/>
      <c r="AN835" s="5"/>
      <c r="AO835" s="14"/>
      <c r="AP835" s="4"/>
    </row>
  </sheetData>
  <phoneticPr fontId="2" type="noConversion"/>
  <conditionalFormatting sqref="A2:AP16 A17:AG18 AI17:AP18 A19:AP19 A20:AF21 AH20:AP21 A22:AP38 A39:A41 C39:AP41 A42:AP156 A158:AP160 A157:F157 H157:AP157 A162:AP835 A161:F161 H161:AP161">
    <cfRule type="expression" dxfId="67" priority="7">
      <formula>$AP2="CANCELLED"</formula>
    </cfRule>
    <cfRule type="expression" dxfId="66" priority="8">
      <formula>$AP2="COMPLETE"</formula>
    </cfRule>
    <cfRule type="expression" dxfId="65" priority="9">
      <formula>$AN2="X"</formula>
    </cfRule>
    <cfRule type="expression" dxfId="64" priority="10">
      <formula>$AM2="X"</formula>
    </cfRule>
    <cfRule type="expression" dxfId="63" priority="11">
      <formula>$AL2="X"</formula>
    </cfRule>
    <cfRule type="expression" dxfId="62" priority="12">
      <formula>$AL2="X"</formula>
    </cfRule>
  </conditionalFormatting>
  <conditionalFormatting sqref="B39:B41">
    <cfRule type="expression" dxfId="61" priority="1">
      <formula>$AP39="CANCELLED"</formula>
    </cfRule>
    <cfRule type="expression" dxfId="60" priority="2">
      <formula>$AP39="COMPLETE"</formula>
    </cfRule>
    <cfRule type="expression" dxfId="59" priority="3">
      <formula>$AN39="X"</formula>
    </cfRule>
    <cfRule type="expression" dxfId="58" priority="4">
      <formula>$AM39="X"</formula>
    </cfRule>
    <cfRule type="expression" dxfId="57" priority="5">
      <formula>$AL39="X"</formula>
    </cfRule>
    <cfRule type="expression" dxfId="56" priority="6">
      <formula>$AL39="X"</formula>
    </cfRule>
  </conditionalFormatting>
  <conditionalFormatting sqref="AH18 AG21">
    <cfRule type="expression" dxfId="55" priority="19">
      <formula>$AP17="CANCELLED"</formula>
    </cfRule>
    <cfRule type="expression" dxfId="54" priority="20">
      <formula>$AP17="COMPLETE"</formula>
    </cfRule>
    <cfRule type="expression" dxfId="53" priority="21">
      <formula>$AN17="X"</formula>
    </cfRule>
    <cfRule type="expression" dxfId="52" priority="22">
      <formula>$AM17="X"</formula>
    </cfRule>
    <cfRule type="expression" dxfId="51" priority="23">
      <formula>$AL17="X"</formula>
    </cfRule>
    <cfRule type="expression" dxfId="50" priority="24">
      <formula>$AL17="X"</formula>
    </cfRule>
  </conditionalFormatting>
  <conditionalFormatting sqref="G161">
    <cfRule type="expression" dxfId="49" priority="31">
      <formula>$AP157="CANCELLED"</formula>
    </cfRule>
    <cfRule type="expression" dxfId="48" priority="32">
      <formula>$AP157="COMPLETE"</formula>
    </cfRule>
    <cfRule type="expression" dxfId="47" priority="33">
      <formula>$AN157="X"</formula>
    </cfRule>
    <cfRule type="expression" dxfId="46" priority="34">
      <formula>$AM157="X"</formula>
    </cfRule>
    <cfRule type="expression" dxfId="45" priority="35">
      <formula>$AL157="X"</formula>
    </cfRule>
    <cfRule type="expression" dxfId="44" priority="36">
      <formula>$AL157="X"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8ECD-9F5F-4713-A23D-B0BDA7B1F3D4}">
  <dimension ref="A1:N12"/>
  <sheetViews>
    <sheetView workbookViewId="0">
      <selection sqref="A1:N12"/>
    </sheetView>
  </sheetViews>
  <sheetFormatPr defaultColWidth="9.140625" defaultRowHeight="10.9"/>
  <cols>
    <col min="1" max="1" width="4.7109375" style="1" bestFit="1" customWidth="1"/>
    <col min="2" max="2" width="16.7109375" style="1" bestFit="1" customWidth="1"/>
    <col min="3" max="11" width="16.140625" style="1" bestFit="1" customWidth="1"/>
    <col min="12" max="13" width="15.140625" style="1" bestFit="1" customWidth="1"/>
    <col min="14" max="14" width="10.7109375" style="1" bestFit="1" customWidth="1"/>
    <col min="15" max="16384" width="9.140625" style="1"/>
  </cols>
  <sheetData>
    <row r="1" spans="1:14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>
      <c r="A2" s="1">
        <v>113</v>
      </c>
      <c r="B2" s="1" t="s">
        <v>813</v>
      </c>
      <c r="C2" s="1">
        <v>72</v>
      </c>
      <c r="D2" s="1">
        <v>180</v>
      </c>
      <c r="E2" s="1">
        <v>144</v>
      </c>
      <c r="F2" s="1">
        <v>120</v>
      </c>
      <c r="G2" s="1">
        <v>174</v>
      </c>
      <c r="H2" s="1">
        <v>90</v>
      </c>
      <c r="I2" s="1">
        <v>48</v>
      </c>
      <c r="J2" s="1">
        <v>84</v>
      </c>
      <c r="K2" s="1">
        <v>120</v>
      </c>
      <c r="L2" s="1" t="s">
        <v>69</v>
      </c>
      <c r="M2" s="1" t="s">
        <v>69</v>
      </c>
      <c r="N2" s="1" t="s">
        <v>353</v>
      </c>
    </row>
    <row r="3" spans="1:14">
      <c r="A3" s="1">
        <v>498</v>
      </c>
      <c r="B3" s="1" t="s">
        <v>863</v>
      </c>
      <c r="C3" s="1">
        <v>72</v>
      </c>
      <c r="D3" s="1">
        <v>180</v>
      </c>
      <c r="E3" s="1">
        <v>144</v>
      </c>
      <c r="F3" s="1">
        <v>120</v>
      </c>
      <c r="G3" s="1">
        <v>174</v>
      </c>
      <c r="H3" s="1">
        <v>90</v>
      </c>
      <c r="I3" s="1">
        <v>48</v>
      </c>
      <c r="J3" s="1">
        <v>84</v>
      </c>
      <c r="K3" s="1">
        <v>120</v>
      </c>
      <c r="L3" s="1" t="s">
        <v>69</v>
      </c>
      <c r="M3" s="1" t="s">
        <v>69</v>
      </c>
      <c r="N3" s="1" t="s">
        <v>353</v>
      </c>
    </row>
    <row r="4" spans="1:14">
      <c r="A4" s="1">
        <v>325</v>
      </c>
      <c r="B4" s="1" t="s">
        <v>833</v>
      </c>
      <c r="C4" s="1">
        <v>72</v>
      </c>
      <c r="D4" s="1">
        <v>180</v>
      </c>
      <c r="E4" s="1">
        <v>144</v>
      </c>
      <c r="F4" s="1">
        <v>120</v>
      </c>
      <c r="G4" s="1">
        <v>174</v>
      </c>
      <c r="H4" s="1">
        <v>90</v>
      </c>
      <c r="I4" s="1">
        <v>48</v>
      </c>
      <c r="J4" s="1">
        <v>84</v>
      </c>
      <c r="K4" s="1">
        <v>120</v>
      </c>
      <c r="L4" s="1" t="s">
        <v>69</v>
      </c>
      <c r="M4" s="1" t="s">
        <v>69</v>
      </c>
      <c r="N4" s="1" t="s">
        <v>353</v>
      </c>
    </row>
    <row r="5" spans="1:14">
      <c r="A5" s="1">
        <v>437</v>
      </c>
      <c r="B5" s="1" t="s">
        <v>852</v>
      </c>
      <c r="C5" s="1">
        <v>72</v>
      </c>
      <c r="D5" s="1">
        <v>180</v>
      </c>
      <c r="E5" s="1">
        <v>144</v>
      </c>
      <c r="F5" s="1">
        <v>120</v>
      </c>
      <c r="G5" s="1">
        <v>174</v>
      </c>
      <c r="H5" s="1">
        <v>105</v>
      </c>
      <c r="I5" s="1">
        <v>60</v>
      </c>
      <c r="J5" s="1">
        <v>84</v>
      </c>
      <c r="K5" s="1">
        <v>120</v>
      </c>
      <c r="L5" s="1" t="s">
        <v>69</v>
      </c>
      <c r="M5" s="1" t="s">
        <v>69</v>
      </c>
      <c r="N5" s="1" t="s">
        <v>353</v>
      </c>
    </row>
    <row r="6" spans="1:14">
      <c r="A6" s="1">
        <v>542</v>
      </c>
      <c r="B6" s="1" t="s">
        <v>867</v>
      </c>
      <c r="C6" s="1">
        <v>72</v>
      </c>
      <c r="D6" s="1">
        <v>180</v>
      </c>
      <c r="E6" s="1">
        <v>144</v>
      </c>
      <c r="F6" s="1">
        <v>120</v>
      </c>
      <c r="G6" s="1">
        <v>174</v>
      </c>
      <c r="H6" s="1">
        <v>105</v>
      </c>
      <c r="I6" s="1">
        <v>60</v>
      </c>
      <c r="J6" s="1">
        <v>84</v>
      </c>
      <c r="K6" s="1">
        <v>120</v>
      </c>
      <c r="L6" s="1" t="s">
        <v>69</v>
      </c>
      <c r="M6" s="1" t="s">
        <v>69</v>
      </c>
      <c r="N6" s="1" t="s">
        <v>353</v>
      </c>
    </row>
    <row r="7" spans="1:14">
      <c r="A7" s="1">
        <v>436</v>
      </c>
      <c r="B7" s="1" t="s">
        <v>849</v>
      </c>
      <c r="C7" s="1">
        <v>74</v>
      </c>
      <c r="D7" s="1">
        <v>204</v>
      </c>
      <c r="E7" s="1">
        <v>90</v>
      </c>
      <c r="F7" s="1">
        <v>120</v>
      </c>
      <c r="G7" s="1">
        <v>174</v>
      </c>
      <c r="H7" s="1">
        <v>120</v>
      </c>
      <c r="I7" s="1">
        <v>60</v>
      </c>
      <c r="J7" s="1">
        <v>84</v>
      </c>
      <c r="K7" s="1">
        <v>36</v>
      </c>
      <c r="L7" s="1" t="s">
        <v>69</v>
      </c>
      <c r="M7" s="1" t="s">
        <v>69</v>
      </c>
      <c r="N7" s="1" t="s">
        <v>353</v>
      </c>
    </row>
    <row r="8" spans="1:14">
      <c r="A8" s="1">
        <v>374</v>
      </c>
      <c r="B8" s="1" t="s">
        <v>837</v>
      </c>
      <c r="C8" s="1">
        <v>74</v>
      </c>
      <c r="D8" s="1">
        <v>204</v>
      </c>
      <c r="E8" s="1">
        <v>90</v>
      </c>
      <c r="F8" s="1">
        <v>120</v>
      </c>
      <c r="G8" s="1">
        <v>174</v>
      </c>
      <c r="H8" s="1">
        <v>120</v>
      </c>
      <c r="I8" s="1">
        <v>60</v>
      </c>
      <c r="J8" s="1">
        <v>84</v>
      </c>
      <c r="K8" s="1">
        <v>36</v>
      </c>
      <c r="L8" s="1" t="s">
        <v>69</v>
      </c>
      <c r="M8" s="1" t="s">
        <v>69</v>
      </c>
      <c r="N8" s="1" t="s">
        <v>353</v>
      </c>
    </row>
    <row r="9" spans="1:14">
      <c r="A9" s="1">
        <v>418</v>
      </c>
      <c r="B9" s="1" t="s">
        <v>845</v>
      </c>
      <c r="C9" s="1">
        <v>74</v>
      </c>
      <c r="D9" s="1">
        <v>180</v>
      </c>
      <c r="E9" s="1">
        <v>78</v>
      </c>
      <c r="F9" s="1">
        <v>60</v>
      </c>
      <c r="G9" s="1">
        <v>205</v>
      </c>
      <c r="H9" s="1">
        <v>120</v>
      </c>
      <c r="I9" s="1">
        <v>60</v>
      </c>
      <c r="J9" s="1">
        <v>84</v>
      </c>
      <c r="K9" s="1">
        <v>36</v>
      </c>
      <c r="L9" s="1" t="s">
        <v>69</v>
      </c>
      <c r="M9" s="1" t="s">
        <v>69</v>
      </c>
      <c r="N9" s="1" t="s">
        <v>353</v>
      </c>
    </row>
    <row r="10" spans="1:14">
      <c r="A10" s="1">
        <v>494</v>
      </c>
      <c r="B10" s="1" t="s">
        <v>856</v>
      </c>
      <c r="C10" s="1">
        <v>74</v>
      </c>
      <c r="D10" s="1">
        <v>180</v>
      </c>
      <c r="E10" s="1">
        <v>78</v>
      </c>
      <c r="F10" s="1">
        <v>60</v>
      </c>
      <c r="G10" s="1">
        <v>205</v>
      </c>
      <c r="H10" s="1">
        <v>120</v>
      </c>
      <c r="I10" s="1">
        <v>60</v>
      </c>
      <c r="J10" s="1">
        <v>84</v>
      </c>
      <c r="K10" s="1">
        <v>36</v>
      </c>
      <c r="L10" s="1" t="s">
        <v>69</v>
      </c>
      <c r="M10" s="1" t="s">
        <v>69</v>
      </c>
      <c r="N10" s="1" t="s">
        <v>353</v>
      </c>
    </row>
    <row r="11" spans="1:14">
      <c r="A11" s="1">
        <v>497</v>
      </c>
      <c r="B11" s="1" t="s">
        <v>860</v>
      </c>
      <c r="C11" s="1">
        <v>74</v>
      </c>
      <c r="D11" s="1">
        <v>180</v>
      </c>
      <c r="E11" s="1">
        <v>78</v>
      </c>
      <c r="F11" s="1">
        <v>60</v>
      </c>
      <c r="G11" s="1">
        <v>205</v>
      </c>
      <c r="H11" s="1">
        <v>120</v>
      </c>
      <c r="I11" s="1">
        <v>60</v>
      </c>
      <c r="J11" s="1">
        <v>84</v>
      </c>
      <c r="K11" s="1">
        <v>36</v>
      </c>
      <c r="L11" s="1" t="s">
        <v>69</v>
      </c>
      <c r="M11" s="1" t="s">
        <v>69</v>
      </c>
      <c r="N11" s="1" t="s">
        <v>353</v>
      </c>
    </row>
    <row r="12" spans="1:14">
      <c r="A12" s="1">
        <v>376</v>
      </c>
      <c r="B12" s="1" t="s">
        <v>841</v>
      </c>
      <c r="C12" s="1">
        <v>74</v>
      </c>
      <c r="D12" s="1">
        <v>180</v>
      </c>
      <c r="E12" s="1">
        <v>78</v>
      </c>
      <c r="F12" s="1">
        <v>60</v>
      </c>
      <c r="G12" s="1">
        <v>205</v>
      </c>
      <c r="H12" s="1">
        <v>120</v>
      </c>
      <c r="I12" s="1">
        <v>60</v>
      </c>
      <c r="J12" s="1">
        <v>84</v>
      </c>
      <c r="K12" s="1">
        <v>36</v>
      </c>
      <c r="L12" s="1" t="s">
        <v>69</v>
      </c>
      <c r="M12" s="1" t="s">
        <v>69</v>
      </c>
      <c r="N12" s="1" t="s">
        <v>353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F802ACF1042438E96A8485D048192" ma:contentTypeVersion="12" ma:contentTypeDescription="Create a new document." ma:contentTypeScope="" ma:versionID="03e210250c77478af9026b5a6d9a534e">
  <xsd:schema xmlns:xsd="http://www.w3.org/2001/XMLSchema" xmlns:xs="http://www.w3.org/2001/XMLSchema" xmlns:p="http://schemas.microsoft.com/office/2006/metadata/properties" xmlns:ns2="779c7e42-6e3f-4a6d-8623-2ff7d83178be" xmlns:ns3="d59b09f7-0e71-4f89-9392-d181dabd6793" targetNamespace="http://schemas.microsoft.com/office/2006/metadata/properties" ma:root="true" ma:fieldsID="e59b4e34729ec1314dcc26cd3fc24c7f" ns2:_="" ns3:_="">
    <xsd:import namespace="779c7e42-6e3f-4a6d-8623-2ff7d83178be"/>
    <xsd:import namespace="d59b09f7-0e71-4f89-9392-d181dabd67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c7e42-6e3f-4a6d-8623-2ff7d8317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48b6a4e-c9fd-4427-a7e1-b934aa45fe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b09f7-0e71-4f89-9392-d181dabd679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c012ef-bb1f-4d34-8241-5111254f2bd9}" ma:internalName="TaxCatchAll" ma:showField="CatchAllData" ma:web="d59b09f7-0e71-4f89-9392-d181dabd6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9c7e42-6e3f-4a6d-8623-2ff7d83178be">
      <Terms xmlns="http://schemas.microsoft.com/office/infopath/2007/PartnerControls"/>
    </lcf76f155ced4ddcb4097134ff3c332f>
    <TaxCatchAll xmlns="d59b09f7-0e71-4f89-9392-d181dabd6793" xsi:nil="true"/>
  </documentManagement>
</p:properties>
</file>

<file path=customXml/itemProps1.xml><?xml version="1.0" encoding="utf-8"?>
<ds:datastoreItem xmlns:ds="http://schemas.openxmlformats.org/officeDocument/2006/customXml" ds:itemID="{599C314F-303C-4947-8A32-C4009CD912B9}"/>
</file>

<file path=customXml/itemProps2.xml><?xml version="1.0" encoding="utf-8"?>
<ds:datastoreItem xmlns:ds="http://schemas.openxmlformats.org/officeDocument/2006/customXml" ds:itemID="{F13FDBD5-1825-4BB3-8A9F-2A6C97218DBE}"/>
</file>

<file path=customXml/itemProps3.xml><?xml version="1.0" encoding="utf-8"?>
<ds:datastoreItem xmlns:ds="http://schemas.openxmlformats.org/officeDocument/2006/customXml" ds:itemID="{0155A9FF-48F4-48A8-B1AD-DA199452B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Kimby McAfee</dc:creator>
  <cp:keywords/>
  <dc:description/>
  <cp:lastModifiedBy/>
  <cp:revision/>
  <dcterms:created xsi:type="dcterms:W3CDTF">2025-08-19T17:04:18Z</dcterms:created>
  <dcterms:modified xsi:type="dcterms:W3CDTF">2025-12-19T21:03:21Z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0x0101003CCF802ACF1042438E96A8485D048192</vt:lpwstr>
  </property>
  <property fmtid="{D5CDD505-2E9C-101B-9397-08002B2CF9AE}" pid="3" name="MediaServiceImageTags">
    <vt:lpwstr/>
  </property>
</Properties>
</file>